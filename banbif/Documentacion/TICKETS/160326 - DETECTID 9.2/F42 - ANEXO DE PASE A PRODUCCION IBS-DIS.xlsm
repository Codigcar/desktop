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Middleware\GitHub\Documentacion\TICKETS\160326 - DETECTID 9.2\"/>
    </mc:Choice>
  </mc:AlternateContent>
  <xr:revisionPtr revIDLastSave="0" documentId="13_ncr:1_{1DC7BC43-E3CA-4C3A-BCC0-224364843459}" xr6:coauthVersionLast="47" xr6:coauthVersionMax="47" xr10:uidLastSave="{00000000-0000-0000-0000-000000000000}"/>
  <bookViews>
    <workbookView xWindow="-110" yWindow="-110" windowWidth="19420" windowHeight="10420" tabRatio="835" firstSheet="2" activeTab="7" xr2:uid="{00000000-000D-0000-FFFF-FFFF00000000}"/>
  </bookViews>
  <sheets>
    <sheet name="Cuestionario" sheetId="18" r:id="rId1"/>
    <sheet name="Hoja1" sheetId="25" state="hidden" r:id="rId2"/>
    <sheet name="Anexo Plan de Instalación" sheetId="2" r:id="rId3"/>
    <sheet name="Anexo Plan de Actividades" sheetId="8" r:id="rId4"/>
    <sheet name="Anexo Plan de Rollback" sheetId="29" r:id="rId5"/>
    <sheet name="Usuarios y Accesos" sheetId="17" r:id="rId6"/>
    <sheet name="Formatos" sheetId="26" r:id="rId7"/>
    <sheet name="Matriz de Documentos" sheetId="31" r:id="rId8"/>
    <sheet name="Leyenda" sheetId="16" state="hidden" r:id="rId9"/>
    <sheet name="Tablas" sheetId="23" state="hidden" r:id="rId10"/>
  </sheets>
  <externalReferences>
    <externalReference r:id="rId11"/>
    <externalReference r:id="rId12"/>
  </externalReferences>
  <definedNames>
    <definedName name="_xlnm.Print_Area" localSheetId="3">'Anexo Plan de Actividades'!$A$1:$H$38</definedName>
    <definedName name="_xlnm.Print_Area" localSheetId="2">'Anexo Plan de Instalación'!$A$1:$I$39</definedName>
    <definedName name="_xlnm.Print_Area" localSheetId="4">'Anexo Plan de Rollback'!$A$1:$I$26</definedName>
    <definedName name="_xlnm.Print_Area" localSheetId="0">Cuestionario!$A$1:$D$138</definedName>
    <definedName name="_xlnm.Print_Area" localSheetId="6">Formatos!$A$1:$G$45</definedName>
    <definedName name="_xlnm.Print_Area" localSheetId="5">'Usuarios y Accesos'!$A$1:$J$28</definedName>
    <definedName name="matriz_requisitos" localSheetId="0">[1]Parametros!$A$2:$G$470</definedName>
    <definedName name="matriz_requisitos">#REF!</definedName>
    <definedName name="matriz_riesgo" localSheetId="0">[1]Parametros!$A$498:$D$507</definedName>
    <definedName name="matriz_riesgo">#REF!</definedName>
    <definedName name="Tipos_criticidad">[2]Parametros!$A$402:$B$408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5" i="18" l="1"/>
  <c r="C106" i="18" l="1"/>
  <c r="B24" i="18" l="1"/>
  <c r="C93" i="18" l="1"/>
  <c r="C89" i="18"/>
  <c r="C84" i="18"/>
  <c r="C52" i="18"/>
  <c r="C97"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Ivar Arteaga Gil</author>
    <author>s15140</author>
    <author>Pamela Miranda</author>
  </authors>
  <commentList>
    <comment ref="B9" authorId="0" shapeId="0" xr:uid="{00000000-0006-0000-0200-000001000000}">
      <text>
        <r>
          <rPr>
            <b/>
            <sz val="8"/>
            <color indexed="81"/>
            <rFont val="Tahoma"/>
            <family val="2"/>
          </rPr>
          <t>Nombre de la persona que elabora este documento. Es el Jefe de Aplicación/Gerente de Proyecto o a quien él delega.</t>
        </r>
      </text>
    </comment>
    <comment ref="C13" authorId="1" shapeId="0" xr:uid="{00000000-0006-0000-0200-000002000000}">
      <text>
        <r>
          <rPr>
            <b/>
            <sz val="8"/>
            <color indexed="81"/>
            <rFont val="Tahoma"/>
            <family val="2"/>
          </rPr>
          <t>Ingresar el código de Solicitud de Requerimiento</t>
        </r>
      </text>
    </comment>
    <comment ref="D13" authorId="2" shapeId="0" xr:uid="{00000000-0006-0000-0200-000003000000}">
      <text>
        <r>
          <rPr>
            <b/>
            <sz val="8"/>
            <color indexed="81"/>
            <rFont val="Tahoma"/>
            <family val="2"/>
          </rPr>
          <t>Tipos:
Principal
Asociado</t>
        </r>
      </text>
    </comment>
  </commentList>
</comments>
</file>

<file path=xl/sharedStrings.xml><?xml version="1.0" encoding="utf-8"?>
<sst xmlns="http://schemas.openxmlformats.org/spreadsheetml/2006/main" count="779" uniqueCount="500">
  <si>
    <t>1. Instrucciones Generales:</t>
  </si>
  <si>
    <t>Analista de Soporte</t>
  </si>
  <si>
    <t>Número de contacto</t>
  </si>
  <si>
    <t>Secuencia de pase</t>
  </si>
  <si>
    <t>Tipo</t>
  </si>
  <si>
    <t xml:space="preserve"> </t>
  </si>
  <si>
    <t>N°</t>
  </si>
  <si>
    <t>Instrucción</t>
  </si>
  <si>
    <t>Nombre</t>
  </si>
  <si>
    <t>Usuario de Validacion PostPase</t>
  </si>
  <si>
    <t>3. Instrucciones para backup previo al pase:</t>
  </si>
  <si>
    <t>Base de Datos</t>
  </si>
  <si>
    <t>Infraestructura  Distribuido</t>
  </si>
  <si>
    <t>Verificador Tecnico:</t>
  </si>
  <si>
    <t>Numero de Contacto Verificador Funcional:</t>
  </si>
  <si>
    <t>Verificador Funcional/Area:</t>
  </si>
  <si>
    <t xml:space="preserve">Verificación Tecnica </t>
  </si>
  <si>
    <t>Secuencia</t>
  </si>
  <si>
    <t>Datos para la Verificación</t>
  </si>
  <si>
    <t>Verificación Funcional Operativa</t>
  </si>
  <si>
    <t>Rol</t>
  </si>
  <si>
    <t>Area</t>
  </si>
  <si>
    <t>Celular</t>
  </si>
  <si>
    <t xml:space="preserve">La atención de la verificacion post pase funcional es obligatoria e imprescindible y  debe realizarse inmediatamente despues de implementado el cambio, la verificacion funcional para los cambios batch debe hacerse luego de la ejecucion de los procesos afectados.
Luego de la verificacion post pase adjuntar a la OC el documento "Conformidad de Validacion post pase" enviado y llenado por el Validador Funcional.
En caso de que la verificacion post pase no se realice en el tiempo programado(duración estimada) el implementador debera gestionar el rollback del cambio. </t>
  </si>
  <si>
    <t>Requiere</t>
  </si>
  <si>
    <t>Normal</t>
  </si>
  <si>
    <t>No</t>
  </si>
  <si>
    <t>Genera indisponibilidad total.</t>
  </si>
  <si>
    <t>Genera indisponibilidad parcial y cuenta con contingencia.</t>
  </si>
  <si>
    <t>No genera indisponibilidad y cuenta con contingencia.</t>
  </si>
  <si>
    <t>Afecta a más del 50% de los datos totales de la aplicación</t>
  </si>
  <si>
    <t>Afecta entre el 10% y el 50% de los datos totales de la aplicación</t>
  </si>
  <si>
    <t>Afecta a menos del 10% de los datos totales de la aplicación</t>
  </si>
  <si>
    <t>1.-</t>
  </si>
  <si>
    <t>2.-</t>
  </si>
  <si>
    <t>4.-</t>
  </si>
  <si>
    <t>5.-</t>
  </si>
  <si>
    <t>6.-</t>
  </si>
  <si>
    <t>7.-</t>
  </si>
  <si>
    <t>8.-</t>
  </si>
  <si>
    <t>9.-</t>
  </si>
  <si>
    <t>10.-</t>
  </si>
  <si>
    <t>11.-</t>
  </si>
  <si>
    <t xml:space="preserve">Seguridad de Información                </t>
  </si>
  <si>
    <t>12.-</t>
  </si>
  <si>
    <t>13.-</t>
  </si>
  <si>
    <t>Informacion</t>
  </si>
  <si>
    <t>Instrucciones</t>
  </si>
  <si>
    <t>Verificación-Post pase</t>
  </si>
  <si>
    <t>Leyenda</t>
  </si>
  <si>
    <t>Pestaña</t>
  </si>
  <si>
    <t>Obligatorio</t>
  </si>
  <si>
    <t>Informativo</t>
  </si>
  <si>
    <t>Descripción</t>
  </si>
  <si>
    <t>Se registra información del cambio que permite realizar una evaluación apropiada del cambio</t>
  </si>
  <si>
    <t>Opcional</t>
  </si>
  <si>
    <t>Indica los mecanismos de verificación luego del pase</t>
  </si>
  <si>
    <t>Describe el uso de cada una de las pestañas</t>
  </si>
  <si>
    <t>Numero de Contacto Verificador Tecnico:</t>
  </si>
  <si>
    <t>Aplicación</t>
  </si>
  <si>
    <t>Usuario</t>
  </si>
  <si>
    <t>Ambiente</t>
  </si>
  <si>
    <t>Responsable (Propietarios de Información)</t>
  </si>
  <si>
    <t>Área</t>
  </si>
  <si>
    <t>Fecha de creación</t>
  </si>
  <si>
    <t>Vigencia de la contraseña (por lo menos una al año)</t>
  </si>
  <si>
    <t>Resultado de evaluación de Seguridad</t>
  </si>
  <si>
    <t>Modificación y adición de columnas en una tabla</t>
  </si>
  <si>
    <t>Creación de Bases de Datos, Tablespaces y Tablas</t>
  </si>
  <si>
    <t>Adición y borrado de índices a una tabla</t>
  </si>
  <si>
    <t>Creación y redimensionamiento de librerías</t>
  </si>
  <si>
    <t>Reorganización de tablas</t>
  </si>
  <si>
    <t>Operaciones de depuración de tablas</t>
  </si>
  <si>
    <t>Cambios que afecten procesos Refresh y/o Cutover</t>
  </si>
  <si>
    <t>Implementación de nuevas tecnologías de comunicación</t>
  </si>
  <si>
    <t>Cambios en arquitectura</t>
  </si>
  <si>
    <t xml:space="preserve">Servicios e Infraestructura no Crítica   </t>
  </si>
  <si>
    <t>Sólo componentes nuevos que no impactan a otras aplicaciones</t>
  </si>
  <si>
    <t>Afecta a funcionalidad crítica del canal, servicio o infraestructura</t>
  </si>
  <si>
    <t>Afecta a cualquier funcionalidad de Depósitos, Cuentas Corrientes, Tarjeta de Crédito.</t>
  </si>
  <si>
    <t>Afecta a funcionalidad no crítica del canal, servicio o infraestructura</t>
  </si>
  <si>
    <t xml:space="preserve">Afecta a nueva funcionalidad   </t>
  </si>
  <si>
    <t>14.-</t>
  </si>
  <si>
    <t>15.-</t>
  </si>
  <si>
    <t>Responsable</t>
  </si>
  <si>
    <t>Duración(min)</t>
  </si>
  <si>
    <t>Duración estimada del pase(min)</t>
  </si>
  <si>
    <t>Duracion estimada(min):</t>
  </si>
  <si>
    <t>Tipo de Cambio*</t>
  </si>
  <si>
    <t>Más de 100,000</t>
  </si>
  <si>
    <t>¿Es Online o Batch?*</t>
  </si>
  <si>
    <t>¿Qué tipo de despliegue se realizará?*</t>
  </si>
  <si>
    <t>16.-</t>
  </si>
  <si>
    <t>Por favor, evalúe la Criticidad del Cambio propuesto (Marque con una X)</t>
  </si>
  <si>
    <t>Evaluación de Criticidad. El Cambio afecta a:</t>
  </si>
  <si>
    <t>Marcar con "X"</t>
  </si>
  <si>
    <t>Canales, Servicios e Infraestructura Crítica* (ver lista)</t>
  </si>
  <si>
    <t>Resultado de evaluación de criticidad:</t>
  </si>
  <si>
    <r>
      <rPr>
        <sz val="9"/>
        <color theme="1"/>
        <rFont val="Arial"/>
        <family val="2"/>
      </rPr>
      <t xml:space="preserve">* </t>
    </r>
    <r>
      <rPr>
        <u/>
        <sz val="9"/>
        <color theme="1"/>
        <rFont val="Arial"/>
        <family val="2"/>
      </rPr>
      <t>LISTA DE CANALES, SERVICIOS E INFRAESTRUCTURA CRÍTICA</t>
    </r>
  </si>
  <si>
    <t>Canales críticos:</t>
  </si>
  <si>
    <t>Servicios críticos:</t>
  </si>
  <si>
    <t>ATM</t>
  </si>
  <si>
    <t>Nuevo LBTR</t>
  </si>
  <si>
    <t>Banca Móvil</t>
  </si>
  <si>
    <t>Banca SMS</t>
  </si>
  <si>
    <t>Banca telefónica</t>
  </si>
  <si>
    <t>Cajeros Global net</t>
  </si>
  <si>
    <t>Remesas del exterior</t>
  </si>
  <si>
    <t>POS</t>
  </si>
  <si>
    <t>Sistemas distribuidos administrados</t>
  </si>
  <si>
    <t>Swift</t>
  </si>
  <si>
    <t>Cambios</t>
  </si>
  <si>
    <t>Tarjeta de débito TDA (autorizaciones)</t>
  </si>
  <si>
    <t>Canje electrónico (N-Compass-NCR) / Canje</t>
  </si>
  <si>
    <t>Conciliación bancaria</t>
  </si>
  <si>
    <t>Telesoft</t>
  </si>
  <si>
    <t>Depósitos</t>
  </si>
  <si>
    <t>Fondos mutuos</t>
  </si>
  <si>
    <t>Giros</t>
  </si>
  <si>
    <t>Herramientas de Verified by visa –CTC</t>
  </si>
  <si>
    <t>Hipotecario y créditos de consumo</t>
  </si>
  <si>
    <t>Impuesto a las transacciones bancarias</t>
  </si>
  <si>
    <t>Infraestructura crítica:</t>
  </si>
  <si>
    <t>Leasing</t>
  </si>
  <si>
    <t>Switch Core o Enlaces Principales</t>
  </si>
  <si>
    <t>17.-</t>
  </si>
  <si>
    <t>Por favor, evalúe el Impacto del Cambio propuesto (Marque con una X)</t>
  </si>
  <si>
    <t>Evaluación del Impacto</t>
  </si>
  <si>
    <t>A nivel de la aplicación</t>
  </si>
  <si>
    <t>A nivel de la Infraestructura</t>
  </si>
  <si>
    <t>A nivel de Datos</t>
  </si>
  <si>
    <t>Resultado de evaluación del impacto:</t>
  </si>
  <si>
    <t>Por favor, responda a lo siguiente (Marque con una X)</t>
  </si>
  <si>
    <t>Evaluación de necesidad de Pruebas de regresión</t>
  </si>
  <si>
    <t>El software involucrado sufrirá modificaciones (funcionalidad nueva o eliminada) como parte del mantenimiento correctivo o evolutivo.</t>
  </si>
  <si>
    <t>El software involucrado usa componentes compartidos por otras aplicaciones o procesos.</t>
  </si>
  <si>
    <t>El entorno operativo ha sido modificado (implica cambios en la arquitectura).
Ejemplo: Cambios de comunicación del canal con en el bus de las interfases del bus con otras aplicaciones ya sea del front end como del back end.</t>
  </si>
  <si>
    <t>¿Requiere pruebas de regresión?</t>
  </si>
  <si>
    <t>RESULTADO: REQUISITOS A CONSIDERAR PARA LA IMPLEMENTACIÓN DEL CAMBIO</t>
  </si>
  <si>
    <t>Antes del Pase a producción</t>
  </si>
  <si>
    <t>Durante el Pase a producción</t>
  </si>
  <si>
    <t>El Analista de sistemas encargado debe mostrar evidencia que el cambio satisface los requerimientos de negocio implementados</t>
  </si>
  <si>
    <t xml:space="preserve">Bus de servicios  </t>
  </si>
  <si>
    <t>Correo electrónico</t>
  </si>
  <si>
    <t xml:space="preserve">Directorio activo </t>
  </si>
  <si>
    <t>Agentes Corrresponsales</t>
  </si>
  <si>
    <t>Mesa de Dinero</t>
  </si>
  <si>
    <t>Cierre 24 x 7</t>
  </si>
  <si>
    <t xml:space="preserve">Líneas de crédito </t>
  </si>
  <si>
    <t>Comercio Exterior</t>
  </si>
  <si>
    <t>APP</t>
  </si>
  <si>
    <t>BPI Empresa</t>
  </si>
  <si>
    <t>BPI Persona</t>
  </si>
  <si>
    <t>ACR</t>
  </si>
  <si>
    <t>Monitor</t>
  </si>
  <si>
    <t>Recaudación y Pago de Servicios</t>
  </si>
  <si>
    <t>Tarjeta de Crédito</t>
  </si>
  <si>
    <t>Unibanca</t>
  </si>
  <si>
    <t>BifScore</t>
  </si>
  <si>
    <t>Sistema de Ealuación de Riesgos</t>
  </si>
  <si>
    <t>RENIEC</t>
  </si>
  <si>
    <t>Clientes</t>
  </si>
  <si>
    <t>Cuenta de Ahorro / Corriente</t>
  </si>
  <si>
    <t>Transferencias</t>
  </si>
  <si>
    <t>Portal Público</t>
  </si>
  <si>
    <t>Por favor, responda al cuestionario para la evaluacion del pase a producción. Todas las preguntas deben ser respondidas, de lo contrario, no se procesará su ingreso al comité de Aprobación de Pases a Producción</t>
  </si>
  <si>
    <t xml:space="preserve">  1.  Documentación requerida estándar (Expediente de Pase a  Producción)</t>
  </si>
  <si>
    <t>Checklist de verificación - El cambio propuesto ¿incluye alguna de las siguientes actividades?</t>
  </si>
  <si>
    <t>En caso que el despliegue sea parcial, ¿qué estrategia se seguirá? Detalle si es una estrategia de despliegue incremental.</t>
  </si>
  <si>
    <t>Rango de operaciones diarias (Este dato ayudará a evaluar el Riesgo inherente al cambio)</t>
  </si>
  <si>
    <t>IBS</t>
  </si>
  <si>
    <r>
      <t xml:space="preserve"> </t>
    </r>
    <r>
      <rPr>
        <b/>
        <sz val="12"/>
        <color theme="1"/>
        <rFont val="Arial"/>
        <family val="2"/>
      </rPr>
      <t xml:space="preserve">                                                </t>
    </r>
    <r>
      <rPr>
        <b/>
        <sz val="14"/>
        <color theme="1"/>
        <rFont val="Arial"/>
        <family val="2"/>
      </rPr>
      <t>CUESTIONARIO PARA LA EVALUACIÓN DE PASE A PRODUCCION</t>
    </r>
  </si>
  <si>
    <t>Especialista de la aplicación</t>
  </si>
  <si>
    <t>2. Dependencias de los Pases a Producción asociados:</t>
  </si>
  <si>
    <t xml:space="preserve">             VERIFICACIÓN POST PASE - PLAN DE ACTIVIDADES</t>
  </si>
  <si>
    <r>
      <rPr>
        <b/>
        <sz val="14"/>
        <rFont val="Arial"/>
        <family val="2"/>
      </rPr>
      <t xml:space="preserve">                                     PLANTILLA DE CREACION DE USUARIOS PRIVILEGIADOS (SI)</t>
    </r>
    <r>
      <rPr>
        <b/>
        <sz val="18"/>
        <rFont val="Arial"/>
        <family val="2"/>
      </rPr>
      <t xml:space="preserve"> </t>
    </r>
  </si>
  <si>
    <t>Se detalla las instruciones que deben ejecutarse para realizar el pase y rollback</t>
  </si>
  <si>
    <t>Usuarios Privilegiados</t>
  </si>
  <si>
    <t>Creación de Usuarios y perfiles</t>
  </si>
  <si>
    <t xml:space="preserve">                    LEYENDA</t>
  </si>
  <si>
    <t>AS400</t>
  </si>
  <si>
    <t>Firewall (F5)</t>
  </si>
  <si>
    <t xml:space="preserve">RESULTADO DE LA EVALUACIÓN DE RIESGOS:
Criticidad 
Impacto  </t>
  </si>
  <si>
    <t>Indicar si tiene dependencia con otros pases a producción de otra aplicación e inclusive plataforma</t>
  </si>
  <si>
    <t>Producción</t>
  </si>
  <si>
    <t>Mantener presencia vía acceso remoto, para resolver cualquier problema durante la ejecución del cambio. Participa Infraestructura, Aseguramiento de la Calidad, Seguridad de la Inf., y el Usuario, según se requiera.</t>
  </si>
  <si>
    <t>Plataforma impactada</t>
  </si>
  <si>
    <t xml:space="preserve">3.- </t>
  </si>
  <si>
    <t>DIS</t>
  </si>
  <si>
    <t>INF</t>
  </si>
  <si>
    <t>HOST</t>
  </si>
  <si>
    <t>WINDOW</t>
  </si>
  <si>
    <t>TANDEN</t>
  </si>
  <si>
    <t>AIX</t>
  </si>
  <si>
    <t>LINUX</t>
  </si>
  <si>
    <t>COMUNICACIÓN</t>
  </si>
  <si>
    <t>SERVIDOR</t>
  </si>
  <si>
    <t>BASE DE DATOS</t>
  </si>
  <si>
    <t>2. Soporte requerido para la ejecución de Rollback</t>
  </si>
  <si>
    <t>PLAN DE ROLLBACK</t>
  </si>
  <si>
    <r>
      <t xml:space="preserve">¿Se ha certificado el Rollback? 
</t>
    </r>
    <r>
      <rPr>
        <b/>
        <sz val="10"/>
        <color theme="0"/>
        <rFont val="Arial"/>
        <family val="2"/>
      </rPr>
      <t>Incluir evidencias del Roll Back</t>
    </r>
  </si>
  <si>
    <t>Mesa de Ayuda</t>
  </si>
  <si>
    <r>
      <t xml:space="preserve">Seguridad de Información
</t>
    </r>
    <r>
      <rPr>
        <b/>
        <sz val="10"/>
        <color theme="0"/>
        <rFont val="Arial"/>
        <family val="2"/>
      </rPr>
      <t>Este punto se evaluara en el comité con la participación de Seguridad de la Información</t>
    </r>
  </si>
  <si>
    <t>ANEXO - PLAN DE INSTALACION</t>
  </si>
  <si>
    <t xml:space="preserve">Detallar los Servicios, Subsistemas, Sockets, Colas MQ que requieran reiniciar
</t>
  </si>
  <si>
    <t xml:space="preserve">Detallar los Servicios, Subsistemas, Sockets, Colas MQ que requieran parada o desactivación, o bajada, etc. </t>
  </si>
  <si>
    <t>Indicar el orden de instalación por plataforma y/o aplicación</t>
  </si>
  <si>
    <t>Aseguramiento de la Calidad</t>
  </si>
  <si>
    <r>
      <t xml:space="preserve">Requisitos de Riesgos de Seguridad (para proyectos nuevos)
</t>
    </r>
    <r>
      <rPr>
        <sz val="10"/>
        <color theme="1"/>
        <rFont val="Arial"/>
        <family val="2"/>
      </rPr>
      <t>Comité Evaluación de Riesgos</t>
    </r>
  </si>
  <si>
    <r>
      <t xml:space="preserve">Gestión de Roles y Accesos
</t>
    </r>
    <r>
      <rPr>
        <sz val="10"/>
        <color theme="1"/>
        <rFont val="Arial"/>
        <family val="2"/>
      </rPr>
      <t>El cambio considera nuevos usuarios, roles y usuarios genéricos?</t>
    </r>
  </si>
  <si>
    <t xml:space="preserve">  2.  Rollback Certificado en ambiente previo</t>
  </si>
  <si>
    <t xml:space="preserve">  3.  Evidencia de Pruebas de regresión</t>
  </si>
  <si>
    <t xml:space="preserve">  4.  Evaluación de Riesgos TI</t>
  </si>
  <si>
    <t xml:space="preserve">  5.  Garantizar soporte Estándar (Analista de Producción e Infraestructura)</t>
  </si>
  <si>
    <t xml:space="preserve">  6.  Ofrecer Soporte físico (Equipo Desarrollo TI / Aseguramiento de la Calidad)</t>
  </si>
  <si>
    <t xml:space="preserve">  7.  Ofrecer Soporte remoto (Equipo Desarrollo TI / Aseguramiento de la Calidad)</t>
  </si>
  <si>
    <t xml:space="preserve">  8.  Ofrecer Soporte de vida temprana (ELS)</t>
  </si>
  <si>
    <t xml:space="preserve">  9.  Realizar validación y confirmación funcional </t>
  </si>
  <si>
    <t>10.  Realizar validación y confirmación técnica</t>
  </si>
  <si>
    <t>11.  Validación de Performance pre y post cambio</t>
  </si>
  <si>
    <t>Formato de Set de Casos de Pruebas
Formato de Evidencias dePruebas Usuario</t>
  </si>
  <si>
    <r>
      <t xml:space="preserve">Áreas que deben adicionalmente intervenir en la ejecución del pase a producción
</t>
    </r>
    <r>
      <rPr>
        <b/>
        <sz val="10"/>
        <color theme="0"/>
        <rFont val="Arial"/>
        <family val="2"/>
      </rPr>
      <t>Ingrese el nombre del soporte requerido</t>
    </r>
  </si>
  <si>
    <t>Consultar con Usuario de Negocio si cuenta con la matriz del Comité de Riesgos</t>
  </si>
  <si>
    <r>
      <t xml:space="preserve">Si existen dependencia,completar hoja: </t>
    </r>
    <r>
      <rPr>
        <b/>
        <sz val="10"/>
        <color rgb="FF0070C0"/>
        <rFont val="Calibri"/>
        <family val="2"/>
        <scheme val="minor"/>
      </rPr>
      <t>Anexo Plan de Instalación</t>
    </r>
  </si>
  <si>
    <r>
      <t xml:space="preserve">Si es parcial completar hoja: </t>
    </r>
    <r>
      <rPr>
        <b/>
        <sz val="10"/>
        <color rgb="FF0070C0"/>
        <rFont val="Calibri"/>
        <family val="2"/>
        <scheme val="minor"/>
      </rPr>
      <t>Anexo Plan de Instalación</t>
    </r>
  </si>
  <si>
    <r>
      <t xml:space="preserve">Completar hoja: </t>
    </r>
    <r>
      <rPr>
        <b/>
        <sz val="10"/>
        <color rgb="FF0070C0"/>
        <rFont val="Calibri"/>
        <family val="2"/>
        <scheme val="minor"/>
      </rPr>
      <t xml:space="preserve">Usurios y Accesos </t>
    </r>
  </si>
  <si>
    <r>
      <t xml:space="preserve">Después del Pase a producción 
</t>
    </r>
    <r>
      <rPr>
        <b/>
        <sz val="10"/>
        <color theme="0"/>
        <rFont val="Arial"/>
        <family val="2"/>
      </rPr>
      <t>(Indicar las horas del soporte requerido)</t>
    </r>
  </si>
  <si>
    <t>Mantener presencia física, para resolver cualquier problema durante la ejecución del cambio. Participa Producción, Infraestructura, Desarrollo. Aseguramiento de la Calidad, Seguridad de la Información y el Usuario, según se requiera.</t>
  </si>
  <si>
    <t>Datos del Documento (Enunciado de Alcance)</t>
  </si>
  <si>
    <t>Código de Documento (Enunciado de Alcance)</t>
  </si>
  <si>
    <t>Descripcion de Documento (Enunciado de Alcance)</t>
  </si>
  <si>
    <t>Nro. Pase</t>
  </si>
  <si>
    <t>Mantener al Analista de sistemas encargado en estado de alerta durante las primeras 08 horas de haberse ejecutado el cambio.</t>
  </si>
  <si>
    <t>El Analista de sistemas encargado debe mostrar evidencia que el cambio satisface los requerimientos técnicos de la solución.</t>
  </si>
  <si>
    <t>El Analista de sistemas debe informar acerca de la performance luego de la ejecución del cambio.</t>
  </si>
  <si>
    <t>Subgerencia Desarrollo TI  que aprueba la creacion de Usuario</t>
  </si>
  <si>
    <t>Menos de 100</t>
  </si>
  <si>
    <t>Más de 100</t>
  </si>
  <si>
    <t>Más de 1000</t>
  </si>
  <si>
    <t>Formato 1</t>
  </si>
  <si>
    <t>Formato 2</t>
  </si>
  <si>
    <t>Formato 3</t>
  </si>
  <si>
    <t>Formato 4</t>
  </si>
  <si>
    <t>Formato 5</t>
  </si>
  <si>
    <t>Formato 6</t>
  </si>
  <si>
    <t>Formato 7</t>
  </si>
  <si>
    <t>Formato 8</t>
  </si>
  <si>
    <t>Formato 9</t>
  </si>
  <si>
    <t>Formato 10</t>
  </si>
  <si>
    <t>Formato 11</t>
  </si>
  <si>
    <t>Formato 12</t>
  </si>
  <si>
    <t>Formato 13</t>
  </si>
  <si>
    <t>Formato 14</t>
  </si>
  <si>
    <t>Formato 15</t>
  </si>
  <si>
    <t>Formato 19</t>
  </si>
  <si>
    <t>Formato 21</t>
  </si>
  <si>
    <t>Formato 22</t>
  </si>
  <si>
    <t>Formato 23</t>
  </si>
  <si>
    <t>Formato 24</t>
  </si>
  <si>
    <t>Formato 25</t>
  </si>
  <si>
    <t>Formato 26</t>
  </si>
  <si>
    <t>Formato 28</t>
  </si>
  <si>
    <t>Formato 29</t>
  </si>
  <si>
    <t>Formato 30</t>
  </si>
  <si>
    <t>Formato 31</t>
  </si>
  <si>
    <t>Formato 32</t>
  </si>
  <si>
    <t>Formato 33</t>
  </si>
  <si>
    <t>Formato 34</t>
  </si>
  <si>
    <t>Formato 35</t>
  </si>
  <si>
    <t>Formato 36</t>
  </si>
  <si>
    <t>Formato 37</t>
  </si>
  <si>
    <t>Formato 38</t>
  </si>
  <si>
    <t>Formato 40</t>
  </si>
  <si>
    <t>Formato 42</t>
  </si>
  <si>
    <t>Manual de Operación</t>
  </si>
  <si>
    <t>Pase a Producción DIS/IBS</t>
  </si>
  <si>
    <t>Comparacion Fuente DIS/IBS</t>
  </si>
  <si>
    <t>Parametrización</t>
  </si>
  <si>
    <t>Matriz de Riesgo e Impacto</t>
  </si>
  <si>
    <t>Matriz de Comite de  Pases a Produccion</t>
  </si>
  <si>
    <t>Matriz de Riesgo de Infraestructura - RFC</t>
  </si>
  <si>
    <t>Matriz de Riesgos y Problemas</t>
  </si>
  <si>
    <t>Informe de Rollback</t>
  </si>
  <si>
    <t>Matriz de Solicitud de Pases de Emergencias</t>
  </si>
  <si>
    <t>Kick Off</t>
  </si>
  <si>
    <t>Solicitud de Cambios para Proyectos</t>
  </si>
  <si>
    <t>Solicitud de Cambios  Requerimientos</t>
  </si>
  <si>
    <t>Matriz de Solicitud de Uso de Usuarios Sensitivos</t>
  </si>
  <si>
    <t>Altas y Bajas de Tareas en Produccion TI</t>
  </si>
  <si>
    <t>Cronograma de Proyecto</t>
  </si>
  <si>
    <t>Lecciones Aprendidas Proyecto</t>
  </si>
  <si>
    <t>Acta de Cierre  Proyecto</t>
  </si>
  <si>
    <t>Contrato de Arquitectura de Proyectos</t>
  </si>
  <si>
    <t>Matriz de Seguimiento de Compromisos</t>
  </si>
  <si>
    <t>Anexo de Pase a Producción IBS-DIS</t>
  </si>
  <si>
    <t xml:space="preserve">CN Caso de Negocio Relacionamiento Virtual </t>
  </si>
  <si>
    <t>FORMATOS</t>
  </si>
  <si>
    <t>GESTION
REQUERIMIENTO</t>
  </si>
  <si>
    <t>GESTION 
PLANIFICACIÓN</t>
  </si>
  <si>
    <t>GESTION
CONSTRUCCCION</t>
  </si>
  <si>
    <t>GESTION
CERTIFICACION</t>
  </si>
  <si>
    <t>ETAPAS CICLO DE VIDA DE DESARROLLO DE SOFTWARE</t>
  </si>
  <si>
    <r>
      <t xml:space="preserve">Completar hoja: </t>
    </r>
    <r>
      <rPr>
        <b/>
        <sz val="10"/>
        <color rgb="FF0070C0"/>
        <rFont val="Calibri"/>
        <family val="2"/>
        <scheme val="minor"/>
      </rPr>
      <t>Formatos (seleccionando el formato que se incluye en la carpeta</t>
    </r>
  </si>
  <si>
    <t xml:space="preserve">MATRIZ DE DOCUMENTOS - CICLO DE VIDA DE DESARROLLO DE SOFTWARE </t>
  </si>
  <si>
    <t>Gestion de Requerimiento</t>
  </si>
  <si>
    <t>Gestión de la Planificación</t>
  </si>
  <si>
    <t>Gestión de la Construcción</t>
  </si>
  <si>
    <t>Gestión de la Certificación / Usuario</t>
  </si>
  <si>
    <t>Gestión de la Calidad</t>
  </si>
  <si>
    <t>Tipo de Pase a Producción</t>
  </si>
  <si>
    <t xml:space="preserve">Autorización de Creación de Cuentas de Usuarios </t>
  </si>
  <si>
    <t>Aprobación VP de División de TI</t>
  </si>
  <si>
    <t>Emergencia</t>
  </si>
  <si>
    <t>Pre-Aprobados</t>
  </si>
  <si>
    <t xml:space="preserve">Aplica solo para Proyectos </t>
  </si>
  <si>
    <t>Aplica solo para Proyectos y Requerimientos</t>
  </si>
  <si>
    <t>Aplica en cualquier etapa del ciclo de desarrollo de software</t>
  </si>
  <si>
    <t>Aplica para Proyecto y 
Requerimientos</t>
  </si>
  <si>
    <t xml:space="preserve">Aplica para Requerimiemtos 
</t>
  </si>
  <si>
    <t>Debe generar ticket de la Mesa de Ayuda</t>
  </si>
  <si>
    <t>Aplica para solicitud de actualizaciones directamente a producción</t>
  </si>
  <si>
    <t>Correo de Jefatura inmediata adjuntando formato)</t>
  </si>
  <si>
    <t>Evidencia de los casos de pruebas unitarias</t>
  </si>
  <si>
    <t>Solo para el caso de nuevas funcionalidades donde interactue el área de Producción</t>
  </si>
  <si>
    <t>Solo en caso que aplique</t>
  </si>
  <si>
    <t>Aplica solo para pases a producción de infraetsructura</t>
  </si>
  <si>
    <t>Evidencia de los casos de pruebas usuario</t>
  </si>
  <si>
    <t>Correo de Gerente / Jefatura inmediata adjuntando formato).</t>
  </si>
  <si>
    <t>Aplica solo para solicitud de pases a producción en periodo de freezing</t>
  </si>
  <si>
    <r>
      <rPr>
        <sz val="8"/>
        <color theme="1"/>
        <rFont val="Segoe UI"/>
        <family val="2"/>
      </rPr>
      <t>Comité Pases Emergencia:</t>
    </r>
    <r>
      <rPr>
        <b/>
        <sz val="8"/>
        <color theme="1"/>
        <rFont val="Segoe UI"/>
        <family val="2"/>
      </rPr>
      <t xml:space="preserve">
20% - SGD TI 
30% - SG Prod. e Infr.
30% - SG Gob TI &amp; Aseg. 
20% - Gerente TI</t>
    </r>
  </si>
  <si>
    <r>
      <rPr>
        <sz val="8"/>
        <color theme="1"/>
        <rFont val="Segoe UI"/>
        <family val="2"/>
      </rPr>
      <t>Aprobado en:</t>
    </r>
    <r>
      <rPr>
        <b/>
        <sz val="8"/>
        <color theme="1"/>
        <rFont val="Segoe UI"/>
        <family val="2"/>
      </rPr>
      <t xml:space="preserve">
Comité de Pases a Producción</t>
    </r>
  </si>
  <si>
    <r>
      <t xml:space="preserve">Aprobado por:
</t>
    </r>
    <r>
      <rPr>
        <b/>
        <sz val="8"/>
        <color theme="1"/>
        <rFont val="Segoe UI"/>
        <family val="2"/>
      </rPr>
      <t>Subgerente Desarrollo TI
o
Subgerente de Producción e Infraestructura</t>
    </r>
    <r>
      <rPr>
        <sz val="8"/>
        <color theme="1"/>
        <rFont val="Segoe UI"/>
        <family val="2"/>
      </rPr>
      <t xml:space="preserve">
</t>
    </r>
  </si>
  <si>
    <t>X</t>
  </si>
  <si>
    <r>
      <t xml:space="preserve">Requerimientos 
Infraestructura
</t>
    </r>
    <r>
      <rPr>
        <b/>
        <sz val="8"/>
        <color theme="4"/>
        <rFont val="Segoe UI"/>
        <family val="2"/>
      </rPr>
      <t>(Ticket Mesa Ayuda)</t>
    </r>
  </si>
  <si>
    <r>
      <t xml:space="preserve">Requerimientos 
de Desarrollo a Infraestructura
</t>
    </r>
    <r>
      <rPr>
        <b/>
        <sz val="8"/>
        <color theme="4"/>
        <rFont val="Segoe UI"/>
        <family val="2"/>
      </rPr>
      <t>(Formato 5)</t>
    </r>
  </si>
  <si>
    <r>
      <t xml:space="preserve">Mantenimiento TI
Incidencia 
</t>
    </r>
    <r>
      <rPr>
        <b/>
        <sz val="8"/>
        <color theme="3" tint="0.39997558519241921"/>
        <rFont val="Segoe UI"/>
        <family val="2"/>
      </rPr>
      <t>(Formato 5)</t>
    </r>
  </si>
  <si>
    <r>
      <t>Mantenimiento TI
Requerimiento
Problema</t>
    </r>
    <r>
      <rPr>
        <b/>
        <sz val="8"/>
        <color theme="3" tint="0.39997558519241921"/>
        <rFont val="Segoe UI"/>
        <family val="2"/>
      </rPr>
      <t xml:space="preserve">
(Formato 5)</t>
    </r>
  </si>
  <si>
    <r>
      <t xml:space="preserve">Solicitud de Actualización: 
- Configuración
- Stored Procedure
</t>
    </r>
    <r>
      <rPr>
        <b/>
        <sz val="8"/>
        <color theme="4"/>
        <rFont val="Segoe UI"/>
        <family val="2"/>
      </rPr>
      <t>(Ticket MDA) requerimiento)
(Formato 5)</t>
    </r>
  </si>
  <si>
    <r>
      <t xml:space="preserve">Solicitud a Demanda:
- Actuaización de 
  contenidos
- Información, 
- Ejecución
</t>
    </r>
    <r>
      <rPr>
        <b/>
        <sz val="8"/>
        <color theme="4"/>
        <rFont val="Segoe UI"/>
        <family val="2"/>
      </rPr>
      <t>(Ticket MDA) requerimiento)</t>
    </r>
  </si>
  <si>
    <r>
      <rPr>
        <b/>
        <sz val="12"/>
        <color theme="1"/>
        <rFont val="Segoe UI"/>
        <family val="2"/>
      </rPr>
      <t xml:space="preserve">X
</t>
    </r>
    <r>
      <rPr>
        <b/>
        <sz val="8"/>
        <color theme="1"/>
        <rFont val="Segoe UI"/>
        <family val="2"/>
      </rPr>
      <t xml:space="preserve">
Aprobado por:
Jefatura inmediata</t>
    </r>
  </si>
  <si>
    <t>Total</t>
  </si>
  <si>
    <t>Riesgo Medio</t>
  </si>
  <si>
    <t>No Requiere</t>
  </si>
  <si>
    <t>PASE PRODUCCION SPP</t>
  </si>
  <si>
    <t>RESTAURAR FUENTE Y OBJETOS DE PRODUCCION</t>
  </si>
  <si>
    <t xml:space="preserve">Seleccione Tipo de Rollback </t>
  </si>
  <si>
    <t>Complete hoja: Anexo Plan de Rollback</t>
  </si>
  <si>
    <t>Tiempo estimado de ejecución del Rollback:</t>
  </si>
  <si>
    <t>(coordinar con producción)</t>
  </si>
  <si>
    <t>ROLLBACK OPCIONES SPP DESDE PRODUCCION</t>
  </si>
  <si>
    <t>La decisión de rollback se da por dos motivos:</t>
  </si>
  <si>
    <t>2.- Cuando el pase a producciòn que se esta insalando presenta errores y no hay ventana de soluciòn</t>
  </si>
  <si>
    <t>1.- Cuando el pase excede el tiempo regsitrado para la instalación</t>
  </si>
  <si>
    <t>3.- Cuando los resultados del plan de actividades post producción no arroja los resultados esperados</t>
  </si>
  <si>
    <t xml:space="preserve">Revisador por: </t>
  </si>
  <si>
    <t>ASEGURAMIENTO DE LA CALIDAD</t>
  </si>
  <si>
    <t>APOEMAPE</t>
  </si>
  <si>
    <t>BNOEL</t>
  </si>
  <si>
    <t>Instrucciones de Rollback AS400/IBS: (incluir Script para procesos Rollback) Ejemplo Lotiniano (como formato solicitud ejecuciòn / Especificacion)</t>
  </si>
  <si>
    <t>Formato 27</t>
  </si>
  <si>
    <t>Creacon de Aplicaciones</t>
  </si>
  <si>
    <t xml:space="preserve">Formato 43 </t>
  </si>
  <si>
    <t>Comimte de Arquitectura</t>
  </si>
  <si>
    <t>Solicitud de Iniciativa + Correo de Aprobación Jefaturas</t>
  </si>
  <si>
    <t>INF- PLAN DE ROLLBACK SEGUN RFC</t>
  </si>
  <si>
    <t>DIS - PLAN DE ROLLBACK SEGUN PASE A PRODUCCION</t>
  </si>
  <si>
    <t>RPA</t>
  </si>
  <si>
    <r>
      <t xml:space="preserve">Caso de Negocio
</t>
    </r>
    <r>
      <rPr>
        <b/>
        <sz val="8"/>
        <color theme="0"/>
        <rFont val="Segoe UI"/>
        <family val="2"/>
      </rPr>
      <t>(Formato 22)</t>
    </r>
  </si>
  <si>
    <r>
      <t xml:space="preserve">Solicitud de Cambios para Requerimientos
</t>
    </r>
    <r>
      <rPr>
        <b/>
        <sz val="8"/>
        <color theme="0"/>
        <rFont val="Segoe UI"/>
        <family val="2"/>
      </rPr>
      <t xml:space="preserve">
(Formato 31)</t>
    </r>
  </si>
  <si>
    <r>
      <t xml:space="preserve">Matriz de Riesgo Infraestructura
</t>
    </r>
    <r>
      <rPr>
        <b/>
        <sz val="8"/>
        <color theme="0"/>
        <rFont val="Segoe UI"/>
        <family val="2"/>
      </rPr>
      <t>(Formato 24)</t>
    </r>
  </si>
  <si>
    <r>
      <t xml:space="preserve">Pruebas Usuario
</t>
    </r>
    <r>
      <rPr>
        <b/>
        <sz val="8"/>
        <color theme="0"/>
        <rFont val="Segoe UI"/>
        <family val="2"/>
      </rPr>
      <t xml:space="preserve">
(Formato 9)</t>
    </r>
  </si>
  <si>
    <t>Confirmacion de Usuario</t>
  </si>
  <si>
    <r>
      <t xml:space="preserve">Acta 
Conformidad
Post Producción
</t>
    </r>
    <r>
      <rPr>
        <b/>
        <sz val="8"/>
        <color theme="0"/>
        <rFont val="Segoe UI"/>
        <family val="2"/>
      </rPr>
      <t xml:space="preserve">
(Formato 17)</t>
    </r>
  </si>
  <si>
    <r>
      <t xml:space="preserve">Para IBS : SPP genera el formato de pase a producción,  el Plan de Instalación, Plan de RollBack y Plan de Actividades.
Plan de activiades para distribuido
 </t>
    </r>
    <r>
      <rPr>
        <b/>
        <sz val="8"/>
        <color theme="0"/>
        <rFont val="Segoe UI"/>
        <family val="2"/>
      </rPr>
      <t>(Formato 2)</t>
    </r>
  </si>
  <si>
    <t xml:space="preserve">Correo de Gerente/Jefatura inmediata adjuntando formato)
</t>
  </si>
  <si>
    <r>
      <t xml:space="preserve">Conformidad del usuario respecto a seguimiento post producción según matriz de seguimiento post producción
</t>
    </r>
    <r>
      <rPr>
        <b/>
        <sz val="8"/>
        <color theme="1"/>
        <rFont val="Segoe UI"/>
        <family val="2"/>
      </rPr>
      <t>Responsable:
Lìder Técnico</t>
    </r>
  </si>
  <si>
    <r>
      <t xml:space="preserve">RPA 
Documento de Diseño
</t>
    </r>
    <r>
      <rPr>
        <b/>
        <sz val="8"/>
        <color theme="3" tint="0.39997558519241921"/>
        <rFont val="Segoe UI"/>
        <family val="2"/>
      </rPr>
      <t>(Formato 4.2)</t>
    </r>
  </si>
  <si>
    <r>
      <t xml:space="preserve">X
</t>
    </r>
    <r>
      <rPr>
        <b/>
        <sz val="8"/>
        <color rgb="FF0070C0"/>
        <rFont val="Segoe UI"/>
        <family val="2"/>
      </rPr>
      <t>(Formato 1.1)</t>
    </r>
  </si>
  <si>
    <r>
      <t xml:space="preserve">X
</t>
    </r>
    <r>
      <rPr>
        <b/>
        <sz val="8"/>
        <color rgb="FF0070C0"/>
        <rFont val="Segoe UI"/>
        <family val="2"/>
      </rPr>
      <t>(Formato 2.2)</t>
    </r>
  </si>
  <si>
    <r>
      <t xml:space="preserve">X
</t>
    </r>
    <r>
      <rPr>
        <b/>
        <sz val="8"/>
        <color rgb="FF0070C0"/>
        <rFont val="Segoe UI"/>
        <family val="2"/>
      </rPr>
      <t>(Formato 4.1)</t>
    </r>
  </si>
  <si>
    <r>
      <t xml:space="preserve">X
</t>
    </r>
    <r>
      <rPr>
        <b/>
        <sz val="8"/>
        <color rgb="FF0070C0"/>
        <rFont val="Segoe UI"/>
        <family val="2"/>
      </rPr>
      <t>(Formato 6.1)</t>
    </r>
  </si>
  <si>
    <t xml:space="preserve"> X</t>
  </si>
  <si>
    <r>
      <t xml:space="preserve">RPA 
Mantenimiento TI
Incidencia 
</t>
    </r>
    <r>
      <rPr>
        <b/>
        <sz val="8"/>
        <color theme="3" tint="0.39997558519241921"/>
        <rFont val="Segoe UI"/>
        <family val="2"/>
      </rPr>
      <t>(Ticket MDA) 
(Formato 4.2)</t>
    </r>
  </si>
  <si>
    <r>
      <t xml:space="preserve">
RPA 
Mantenimiento TI
Problema</t>
    </r>
    <r>
      <rPr>
        <b/>
        <sz val="8"/>
        <color theme="3" tint="0.39997558519241921"/>
        <rFont val="Segoe UI"/>
        <family val="2"/>
      </rPr>
      <t xml:space="preserve">
(Ticket MDA) 
(Formato 4.2)</t>
    </r>
  </si>
  <si>
    <r>
      <t xml:space="preserve">X
</t>
    </r>
    <r>
      <rPr>
        <b/>
        <sz val="8"/>
        <color theme="3" tint="0.39997558519241921"/>
        <rFont val="Segoe UI"/>
        <family val="2"/>
      </rPr>
      <t xml:space="preserve"> </t>
    </r>
  </si>
  <si>
    <r>
      <t xml:space="preserve">RPA
Solicitud de Actualización:
- Configuración
</t>
    </r>
    <r>
      <rPr>
        <b/>
        <sz val="8"/>
        <color theme="4"/>
        <rFont val="Segoe UI"/>
        <family val="2"/>
      </rPr>
      <t>(Ticket MDA) 
(Formato 4.2)</t>
    </r>
  </si>
  <si>
    <t>Si el Rollback es Restaurar Fuentes y Objetos de Producción (Incluir CLP)</t>
  </si>
  <si>
    <t>Formato 1.1</t>
  </si>
  <si>
    <t>RPA - Business Case</t>
  </si>
  <si>
    <t>Formato 2.2</t>
  </si>
  <si>
    <t>RPA - Evaluación Integral de Riesgos_Matriz para RPA</t>
  </si>
  <si>
    <t>Formato 4.1</t>
  </si>
  <si>
    <t>RPA - Plan de Pruebas _ Estado de Ejecución</t>
  </si>
  <si>
    <t>Formato 6.1</t>
  </si>
  <si>
    <t>RPA - DED - Documento de Especificaciones - Plantilla</t>
  </si>
  <si>
    <t>Formato 6.3</t>
  </si>
  <si>
    <t>NO APLICA</t>
  </si>
  <si>
    <t>No aplica para pases pre-aprobados</t>
  </si>
  <si>
    <t>PLATAFORMA</t>
  </si>
  <si>
    <t>Nro. Paquete SPP</t>
  </si>
  <si>
    <t>IBS-DIS</t>
  </si>
  <si>
    <t>IBS-INF</t>
  </si>
  <si>
    <t>IBS-DIS-INF</t>
  </si>
  <si>
    <t>DIS-INF</t>
  </si>
  <si>
    <t>IBS-RPA</t>
  </si>
  <si>
    <t>IBS.DIS-INF-RPA</t>
  </si>
  <si>
    <t>DIS-INF-RPA</t>
  </si>
  <si>
    <t>INF-RPA</t>
  </si>
  <si>
    <t>DIS-RPA</t>
  </si>
  <si>
    <t>RPA - PLAN DE ROLLBACK SEGUN PASE A PRODUCCION</t>
  </si>
  <si>
    <t xml:space="preserve">Hora    </t>
  </si>
  <si>
    <t>IBS-DIS - PLAN ROLLBACK SEGÚN PASE A PRODUCCION</t>
  </si>
  <si>
    <t>IBS-DIS-INF - PLAN ROLLBACK SEGÚN PASE A PRODUCCION</t>
  </si>
  <si>
    <t>IBS-DIS-INF-RPA - PLAN ROLLBACK SEGÚN PASE A PRODUCCION</t>
  </si>
  <si>
    <t>IBS-RPA - PLAN ROLLBACK SEGÚN PASE A PRODUCCION</t>
  </si>
  <si>
    <t>IBS-INF - PLAN ROLLBACK SEGÚN PASE A PRODUCCION</t>
  </si>
  <si>
    <t>DIS-INF - PLAN DE ROLLBACK SEGUN PASE A PRODUCCION</t>
  </si>
  <si>
    <t>DIS-RPA - PLAN DE ROLLBACK SEGUN PASE A PRODUCCION</t>
  </si>
  <si>
    <t>DIS-INF-RPA - PLAN DE ROLLBACK SEGÚN PASE A PRODUCCION</t>
  </si>
  <si>
    <t>Plan de Instalacion, Plan de Rollback, Plan de Actividades - DIS/IBS/INF/RPA</t>
  </si>
  <si>
    <r>
      <t xml:space="preserve">Análisis y Diseño </t>
    </r>
    <r>
      <rPr>
        <b/>
        <sz val="11"/>
        <color theme="1"/>
        <rFont val="Calibri"/>
        <family val="2"/>
        <scheme val="minor"/>
      </rPr>
      <t>+ Correo de Aprobaciòn de Jefatura</t>
    </r>
  </si>
  <si>
    <r>
      <t xml:space="preserve">Acta de Conformidad </t>
    </r>
    <r>
      <rPr>
        <b/>
        <sz val="11"/>
        <color theme="1"/>
        <rFont val="Calibri"/>
        <family val="2"/>
        <scheme val="minor"/>
      </rPr>
      <t>+ Correo de Aprobación Jefatura</t>
    </r>
  </si>
  <si>
    <r>
      <t xml:space="preserve">Set Casos de Pruebas de Usuario </t>
    </r>
    <r>
      <rPr>
        <b/>
        <sz val="11"/>
        <color theme="1"/>
        <rFont val="Calibri"/>
        <family val="2"/>
        <scheme val="minor"/>
      </rPr>
      <t>+ Correo de Aprobacion Jefaturas</t>
    </r>
  </si>
  <si>
    <r>
      <t xml:space="preserve">Script - Solicitud de Ejecución </t>
    </r>
    <r>
      <rPr>
        <b/>
        <sz val="11"/>
        <color theme="1"/>
        <rFont val="Calibri"/>
        <family val="2"/>
        <scheme val="minor"/>
      </rPr>
      <t>+ Correo de Aprobaciòn Jefatura/Subgerencia</t>
    </r>
  </si>
  <si>
    <r>
      <t xml:space="preserve"> Especificación Técnica - Script  </t>
    </r>
    <r>
      <rPr>
        <b/>
        <sz val="11"/>
        <color theme="1"/>
        <rFont val="Calibri"/>
        <family val="2"/>
        <scheme val="minor"/>
      </rPr>
      <t>+ Correo de Aprobaciòn Jefatura/Subgerencia</t>
    </r>
  </si>
  <si>
    <r>
      <t xml:space="preserve">Acta de Confirmación Post Producción </t>
    </r>
    <r>
      <rPr>
        <b/>
        <sz val="11"/>
        <color theme="1"/>
        <rFont val="Calibri"/>
        <family val="2"/>
        <scheme val="minor"/>
      </rPr>
      <t>+ Correo de Aprobacion Jefaturas</t>
    </r>
  </si>
  <si>
    <r>
      <t xml:space="preserve">Plan de Pruebas Funcionales - Requerimiento
</t>
    </r>
    <r>
      <rPr>
        <b/>
        <sz val="11"/>
        <color theme="1"/>
        <rFont val="Calibri"/>
        <family val="2"/>
        <scheme val="minor"/>
      </rPr>
      <t xml:space="preserve">(sino aplica correo de conformidad del área de certificación) </t>
    </r>
  </si>
  <si>
    <r>
      <t xml:space="preserve">RPA - Solicitud de Iniciativa </t>
    </r>
    <r>
      <rPr>
        <b/>
        <sz val="11"/>
        <color theme="1"/>
        <rFont val="Calibri"/>
        <family val="2"/>
        <scheme val="minor"/>
      </rPr>
      <t>+ Correo de Aprobación Jefaturas</t>
    </r>
  </si>
  <si>
    <r>
      <t xml:space="preserve">Set Casos de Pruebas Unitarias </t>
    </r>
    <r>
      <rPr>
        <b/>
        <sz val="11"/>
        <color theme="1"/>
        <rFont val="Calibri"/>
        <family val="2"/>
        <scheme val="minor"/>
      </rPr>
      <t>+ Correo de Aprobación Jefatura</t>
    </r>
  </si>
  <si>
    <r>
      <t xml:space="preserve">Pruebas Usuario </t>
    </r>
    <r>
      <rPr>
        <b/>
        <sz val="11"/>
        <color theme="1"/>
        <rFont val="Calibri"/>
        <family val="2"/>
        <scheme val="minor"/>
      </rPr>
      <t>+ Correo de Aprobacion Jefaturas</t>
    </r>
  </si>
  <si>
    <r>
      <t xml:space="preserve">Pruebas Unitarias </t>
    </r>
    <r>
      <rPr>
        <b/>
        <sz val="11"/>
        <color theme="1"/>
        <rFont val="Calibri"/>
        <family val="2"/>
        <scheme val="minor"/>
      </rPr>
      <t>+ Correo de Aprobacion Jefaturas</t>
    </r>
  </si>
  <si>
    <t xml:space="preserve">¿Aproximadamente, cuántas operaciones diarias se efectúan en el entorno que se está cambiando? </t>
  </si>
  <si>
    <t>Si</t>
  </si>
  <si>
    <t>CDIAZ</t>
  </si>
  <si>
    <t>Formato 44</t>
  </si>
  <si>
    <r>
      <t xml:space="preserve">Mantenimiento </t>
    </r>
    <r>
      <rPr>
        <b/>
        <sz val="11"/>
        <color theme="1"/>
        <rFont val="Calibri"/>
        <family val="2"/>
        <scheme val="minor"/>
      </rPr>
      <t>+ Correo de Aprobación Jefatura</t>
    </r>
  </si>
  <si>
    <r>
      <t>DEF Documento de Especificación Funcional +</t>
    </r>
    <r>
      <rPr>
        <b/>
        <sz val="11"/>
        <color theme="1"/>
        <rFont val="Calibri"/>
        <family val="2"/>
        <scheme val="minor"/>
      </rPr>
      <t xml:space="preserve"> Correo de Aprobación Comite</t>
    </r>
  </si>
  <si>
    <t>Formato 45</t>
  </si>
  <si>
    <r>
      <t xml:space="preserve">Estrategia de Pruebas </t>
    </r>
    <r>
      <rPr>
        <b/>
        <sz val="11"/>
        <color theme="1"/>
        <rFont val="Calibri"/>
        <family val="2"/>
        <scheme val="minor"/>
      </rPr>
      <t xml:space="preserve">(aplica para poryectos y requerimientos)
(sino aplica correo de conformidad del área de certificación) </t>
    </r>
  </si>
  <si>
    <t>Fecha</t>
  </si>
  <si>
    <t>Si el Rollback es SPP desde Producción (Proceso Automatico)</t>
  </si>
  <si>
    <r>
      <t xml:space="preserve">Solicitud de Iniciativa
</t>
    </r>
    <r>
      <rPr>
        <b/>
        <sz val="8"/>
        <color theme="0"/>
        <rFont val="Segoe UI"/>
        <family val="2"/>
      </rPr>
      <t xml:space="preserve">
(Formato 21)</t>
    </r>
  </si>
  <si>
    <r>
      <t xml:space="preserve">Kick Off 
del Proyecto
</t>
    </r>
    <r>
      <rPr>
        <b/>
        <sz val="8"/>
        <color theme="0"/>
        <rFont val="Segoe UI"/>
        <family val="2"/>
      </rPr>
      <t>(Formato 29)</t>
    </r>
  </si>
  <si>
    <r>
      <t xml:space="preserve">Cronograma 
de Proyecto
</t>
    </r>
    <r>
      <rPr>
        <b/>
        <sz val="8"/>
        <color theme="0"/>
        <rFont val="Segoe UI"/>
        <family val="2"/>
      </rPr>
      <t>(Formato 34)</t>
    </r>
  </si>
  <si>
    <r>
      <t xml:space="preserve">Matriz de 
Riesgos y Problemas
</t>
    </r>
    <r>
      <rPr>
        <b/>
        <sz val="8"/>
        <color theme="0"/>
        <rFont val="Segoe UI"/>
        <family val="2"/>
      </rPr>
      <t>(Formato 25)</t>
    </r>
  </si>
  <si>
    <r>
      <t xml:space="preserve">Solicitud de Cambios para Proyectos
</t>
    </r>
    <r>
      <rPr>
        <b/>
        <sz val="8"/>
        <color theme="0"/>
        <rFont val="Segoe UI"/>
        <family val="2"/>
      </rPr>
      <t>(Formato 30)</t>
    </r>
  </si>
  <si>
    <r>
      <t xml:space="preserve">Contrato de
Arquitectura
</t>
    </r>
    <r>
      <rPr>
        <b/>
        <sz val="8"/>
        <color theme="0"/>
        <rFont val="Segoe UI"/>
        <family val="2"/>
      </rPr>
      <t>(Formato 37)</t>
    </r>
  </si>
  <si>
    <r>
      <t xml:space="preserve">Comité de Arquitectura
</t>
    </r>
    <r>
      <rPr>
        <b/>
        <sz val="8"/>
        <color theme="0"/>
        <rFont val="Segoe UI"/>
        <family val="2"/>
      </rPr>
      <t>(Formato 43)</t>
    </r>
  </si>
  <si>
    <r>
      <t xml:space="preserve">Plan de Pruebas
</t>
    </r>
    <r>
      <rPr>
        <b/>
        <sz val="8"/>
        <color theme="0"/>
        <rFont val="Segoe UI"/>
        <family val="2"/>
      </rPr>
      <t>(Formato 40)</t>
    </r>
  </si>
  <si>
    <r>
      <t xml:space="preserve">Estrategia de Pruebas
</t>
    </r>
    <r>
      <rPr>
        <b/>
        <sz val="8"/>
        <color theme="0"/>
        <rFont val="Segoe UI"/>
        <family val="2"/>
      </rPr>
      <t>(Formato 45)</t>
    </r>
  </si>
  <si>
    <r>
      <t>Documento de Especificación Funcional o 
Mantenimiento TI</t>
    </r>
    <r>
      <rPr>
        <b/>
        <sz val="8"/>
        <color theme="0"/>
        <rFont val="Segoe UI"/>
        <family val="2"/>
      </rPr>
      <t xml:space="preserve">
DEF (Formato 44)</t>
    </r>
    <r>
      <rPr>
        <b/>
        <sz val="8"/>
        <color theme="1"/>
        <rFont val="Segoe UI"/>
        <family val="2"/>
      </rPr>
      <t xml:space="preserve">
</t>
    </r>
    <r>
      <rPr>
        <b/>
        <sz val="8"/>
        <color theme="0"/>
        <rFont val="Segoe UI"/>
        <family val="2"/>
      </rPr>
      <t>Mto (formato 5)</t>
    </r>
  </si>
  <si>
    <r>
      <t xml:space="preserve">Pase a Producción 
</t>
    </r>
    <r>
      <rPr>
        <b/>
        <sz val="8"/>
        <color theme="0"/>
        <rFont val="Segoe UI"/>
        <family val="2"/>
      </rPr>
      <t xml:space="preserve">
(Formato 1 - IBS/DIS)
(Formato 24 - RFC)</t>
    </r>
    <r>
      <rPr>
        <b/>
        <sz val="8"/>
        <color theme="1"/>
        <rFont val="Segoe UI"/>
        <family val="2"/>
      </rPr>
      <t xml:space="preserve">
</t>
    </r>
  </si>
  <si>
    <r>
      <t xml:space="preserve">Anexo de Pase a Producción
</t>
    </r>
    <r>
      <rPr>
        <b/>
        <sz val="8"/>
        <color theme="0"/>
        <rFont val="Segoe UI"/>
        <family val="2"/>
      </rPr>
      <t>(Formato 42)</t>
    </r>
  </si>
  <si>
    <r>
      <t xml:space="preserve">Solciitud de Ejecución
</t>
    </r>
    <r>
      <rPr>
        <b/>
        <sz val="8"/>
        <color theme="0"/>
        <rFont val="Segoe UI"/>
        <family val="2"/>
      </rPr>
      <t>(Formato 13)</t>
    </r>
  </si>
  <si>
    <r>
      <t xml:space="preserve">Especificación Técnica
</t>
    </r>
    <r>
      <rPr>
        <b/>
        <sz val="8"/>
        <color theme="0"/>
        <rFont val="Segoe UI"/>
        <family val="2"/>
      </rPr>
      <t xml:space="preserve">
(Formato 14)</t>
    </r>
  </si>
  <si>
    <r>
      <t xml:space="preserve">Formato de Análisis y Diseño
</t>
    </r>
    <r>
      <rPr>
        <b/>
        <sz val="8"/>
        <color theme="0"/>
        <rFont val="Segoe UI"/>
        <family val="2"/>
      </rPr>
      <t>(Formato 6)</t>
    </r>
  </si>
  <si>
    <r>
      <t xml:space="preserve">Set Casos Pruebas Unitarias
</t>
    </r>
    <r>
      <rPr>
        <b/>
        <sz val="8"/>
        <color theme="0"/>
        <rFont val="Segoe UI"/>
        <family val="2"/>
      </rPr>
      <t>(Formato 3)</t>
    </r>
  </si>
  <si>
    <r>
      <t xml:space="preserve">Pruebas Unitarias
</t>
    </r>
    <r>
      <rPr>
        <b/>
        <sz val="8"/>
        <color theme="0"/>
        <rFont val="Segoe UI"/>
        <family val="2"/>
      </rPr>
      <t>(Formato 4)</t>
    </r>
  </si>
  <si>
    <r>
      <t xml:space="preserve">Manual de Operación
</t>
    </r>
    <r>
      <rPr>
        <b/>
        <sz val="8"/>
        <color theme="0"/>
        <rFont val="Segoe UI"/>
        <family val="2"/>
      </rPr>
      <t>*</t>
    </r>
    <r>
      <rPr>
        <b/>
        <sz val="8"/>
        <color theme="1"/>
        <rFont val="Segoe UI"/>
        <family val="2"/>
      </rPr>
      <t xml:space="preserve"> </t>
    </r>
    <r>
      <rPr>
        <b/>
        <sz val="8"/>
        <color theme="0"/>
        <rFont val="Segoe UI"/>
        <family val="2"/>
      </rPr>
      <t>En proceso
(Formato 15)</t>
    </r>
  </si>
  <si>
    <r>
      <t xml:space="preserve">Hoja Paramétros
</t>
    </r>
    <r>
      <rPr>
        <b/>
        <sz val="8"/>
        <color theme="0"/>
        <rFont val="Segoe UI"/>
        <family val="2"/>
      </rPr>
      <t>(Formato 11)</t>
    </r>
  </si>
  <si>
    <r>
      <t xml:space="preserve">Matriz de sustento 
</t>
    </r>
    <r>
      <rPr>
        <b/>
        <sz val="8"/>
        <color theme="0"/>
        <rFont val="Segoe UI"/>
        <family val="2"/>
      </rPr>
      <t>(Formato 28)</t>
    </r>
  </si>
  <si>
    <r>
      <t xml:space="preserve">Formato de Altas y Bajas
</t>
    </r>
    <r>
      <rPr>
        <b/>
        <sz val="8"/>
        <color theme="0"/>
        <rFont val="Segoe UI"/>
        <family val="2"/>
      </rPr>
      <t>(Formato 33)</t>
    </r>
  </si>
  <si>
    <r>
      <t>Set Casos Pruebas Usuario</t>
    </r>
    <r>
      <rPr>
        <b/>
        <sz val="8"/>
        <color theme="3" tint="0.39997558519241921"/>
        <rFont val="Segoe UI"/>
        <family val="2"/>
      </rPr>
      <t xml:space="preserve">
</t>
    </r>
    <r>
      <rPr>
        <b/>
        <sz val="8"/>
        <color theme="0"/>
        <rFont val="Segoe UI"/>
        <family val="2"/>
      </rPr>
      <t>(Formato 8)</t>
    </r>
  </si>
  <si>
    <r>
      <t xml:space="preserve">Acta Conformidad 
</t>
    </r>
    <r>
      <rPr>
        <b/>
        <sz val="8"/>
        <color theme="0"/>
        <rFont val="Segoe UI"/>
        <family val="2"/>
      </rPr>
      <t>(Formato 7)</t>
    </r>
  </si>
  <si>
    <r>
      <t xml:space="preserve">Comparación Fuentes
</t>
    </r>
    <r>
      <rPr>
        <b/>
        <sz val="8"/>
        <color theme="0"/>
        <rFont val="Segoe UI"/>
        <family val="2"/>
      </rPr>
      <t>(Formato 10)</t>
    </r>
  </si>
  <si>
    <r>
      <t xml:space="preserve">Matriz Riesgo
</t>
    </r>
    <r>
      <rPr>
        <b/>
        <sz val="8"/>
        <color theme="0"/>
        <rFont val="Segoe UI"/>
        <family val="2"/>
      </rPr>
      <t>(Formato 42)</t>
    </r>
  </si>
  <si>
    <t>Correo de Gerente o Subgerente, o Jefatura inmediata adjuntando formato).</t>
  </si>
  <si>
    <t>Aplica para solicitud de pases de emergencia, se debe adjuntar correo de VP, o Gerencia, o Subgerencia de Negocio</t>
  </si>
  <si>
    <t>Aplica para cuentas en servidores y/o Base de Datos de los sistemas, los usuarios deben estar descritos en el formato 42</t>
  </si>
  <si>
    <t>En caso aplique, se debe adjuntar correo de aprobacion Subgerencia TI.</t>
  </si>
  <si>
    <r>
      <t xml:space="preserve">Correo de Gerente / Jefatura inmediata del negocio
</t>
    </r>
    <r>
      <rPr>
        <b/>
        <sz val="8"/>
        <color theme="1"/>
        <rFont val="Segoe UI"/>
        <family val="2"/>
      </rPr>
      <t>Correo de Gerente Division de Operacione</t>
    </r>
    <r>
      <rPr>
        <sz val="8"/>
        <color theme="1"/>
        <rFont val="Segoe UI"/>
        <family val="2"/>
      </rPr>
      <t>s
(adjuntando formato).</t>
    </r>
  </si>
  <si>
    <r>
      <t xml:space="preserve">IBS </t>
    </r>
    <r>
      <rPr>
        <b/>
        <sz val="8"/>
        <color theme="1"/>
        <rFont val="Segoe UI"/>
        <family val="2"/>
      </rPr>
      <t xml:space="preserve">- </t>
    </r>
    <r>
      <rPr>
        <sz val="8"/>
        <color theme="1"/>
        <rFont val="Segoe UI"/>
        <family val="2"/>
      </rPr>
      <t>SPP
Distribuido - Araxis</t>
    </r>
  </si>
  <si>
    <t>Hoja de Formatos (ckeck list de Aseguramiento de la Calidad, se actualiza la que presentan los equipos)</t>
  </si>
  <si>
    <t>Los documentos deben colocarse en la carpeta de cada responsable del pase</t>
  </si>
  <si>
    <t xml:space="preserve">
Correo de Aprobación
</t>
  </si>
  <si>
    <t>+
Correo de aprobación</t>
  </si>
  <si>
    <t>+
Correo de aprobacion</t>
  </si>
  <si>
    <t>+
Correo de Aprobación</t>
  </si>
  <si>
    <r>
      <t xml:space="preserve">Documento de Especificación Funcional - Proyecto
</t>
    </r>
    <r>
      <rPr>
        <b/>
        <sz val="8"/>
        <color theme="4"/>
        <rFont val="Segoe UI"/>
        <family val="2"/>
      </rPr>
      <t>(Formato 44)</t>
    </r>
    <r>
      <rPr>
        <b/>
        <sz val="8"/>
        <color theme="1"/>
        <rFont val="Segoe UI"/>
        <family val="2"/>
      </rPr>
      <t xml:space="preserve">
</t>
    </r>
  </si>
  <si>
    <r>
      <t xml:space="preserve">Documento de Especificación Funcional - Requerimiento
</t>
    </r>
    <r>
      <rPr>
        <b/>
        <sz val="8"/>
        <color theme="4"/>
        <rFont val="Segoe UI"/>
        <family val="2"/>
      </rPr>
      <t>(Formato 44)</t>
    </r>
    <r>
      <rPr>
        <b/>
        <sz val="8"/>
        <color theme="1"/>
        <rFont val="Segoe UI"/>
        <family val="2"/>
      </rPr>
      <t xml:space="preserve">
</t>
    </r>
  </si>
  <si>
    <t>x</t>
  </si>
  <si>
    <r>
      <t xml:space="preserve">X
</t>
    </r>
    <r>
      <rPr>
        <b/>
        <sz val="8"/>
        <color theme="1"/>
        <rFont val="Segoe UI"/>
        <family val="2"/>
      </rPr>
      <t xml:space="preserve">Aprobado por:
Subgerencia de área
</t>
    </r>
  </si>
  <si>
    <r>
      <rPr>
        <b/>
        <sz val="12"/>
        <rFont val="Segoe UI"/>
        <family val="2"/>
      </rPr>
      <t>X</t>
    </r>
    <r>
      <rPr>
        <b/>
        <sz val="8"/>
        <color theme="3" tint="0.39997558519241921"/>
        <rFont val="Segoe UI"/>
        <family val="2"/>
      </rPr>
      <t xml:space="preserve">
</t>
    </r>
    <r>
      <rPr>
        <b/>
        <sz val="8"/>
        <color theme="4"/>
        <rFont val="Segoe UI"/>
        <family val="2"/>
      </rPr>
      <t>(Formato 6.3)</t>
    </r>
  </si>
  <si>
    <r>
      <t xml:space="preserve">X
</t>
    </r>
    <r>
      <rPr>
        <b/>
        <sz val="8"/>
        <color theme="4"/>
        <rFont val="Segoe UI"/>
        <family val="2"/>
      </rPr>
      <t>(Formato 6.1)</t>
    </r>
  </si>
  <si>
    <r>
      <t xml:space="preserve">Kick Off Pruebas Usuario
</t>
    </r>
    <r>
      <rPr>
        <b/>
        <sz val="8"/>
        <color theme="0"/>
        <rFont val="Segoe UI"/>
        <family val="2"/>
      </rPr>
      <t>Formato 69</t>
    </r>
  </si>
  <si>
    <t>Conocer los procesos, aplicaciones impactados y van a sere validados en la etapa de certificación</t>
  </si>
  <si>
    <t>En caso no aplique 
Correo de conformidad</t>
  </si>
  <si>
    <t>No aplica</t>
  </si>
  <si>
    <t>Online</t>
  </si>
  <si>
    <t>30 min</t>
  </si>
  <si>
    <t>Operador de Turno / Leonardo Otiniano</t>
  </si>
  <si>
    <t>Se valida el cambio realizado a nivel de componentes</t>
  </si>
  <si>
    <t>Validacion de ingreso a la APP Empresas</t>
  </si>
  <si>
    <t>60 min</t>
  </si>
  <si>
    <t>Juan Gala</t>
  </si>
  <si>
    <t xml:space="preserve">Ticket # 160326 </t>
  </si>
  <si>
    <t>Enrolamiento Silencioso DetectID 8.1 a 9.2</t>
  </si>
  <si>
    <t xml:space="preserve"> Juan Gala</t>
  </si>
  <si>
    <t>Diego Asmat</t>
  </si>
  <si>
    <t>Juan Gala / Diego Asmat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</si>
</sst>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0"/>
      <name val="Arial"/>
      <family val="2"/>
    </font>
    <font>
      <sz val="10"/>
      <name val="Arial"/>
      <family val="2"/>
    </font>
    <font>
      <b/>
      <sz val="18"/>
      <name val="Arial"/>
      <family val="2"/>
    </font>
    <font>
      <b/>
      <u/>
      <sz val="14"/>
      <name val="Arial"/>
      <family val="2"/>
    </font>
    <font>
      <b/>
      <sz val="10"/>
      <name val="Arial Narrow"/>
      <family val="2"/>
    </font>
    <font>
      <b/>
      <sz val="8"/>
      <color indexed="81"/>
      <name val="Tahoma"/>
      <family val="2"/>
    </font>
    <font>
      <sz val="8"/>
      <name val="Arial"/>
      <family val="2"/>
    </font>
    <font>
      <b/>
      <sz val="11"/>
      <name val="Arial Narrow"/>
      <family val="2"/>
    </font>
    <font>
      <b/>
      <sz val="11"/>
      <color theme="1"/>
      <name val="Calibri"/>
      <family val="2"/>
      <scheme val="minor"/>
    </font>
    <font>
      <sz val="11"/>
      <color theme="1"/>
      <name val="Arial"/>
      <family val="2"/>
    </font>
    <font>
      <sz val="10"/>
      <color theme="1"/>
      <name val="Arial"/>
      <family val="2"/>
    </font>
    <font>
      <b/>
      <sz val="9"/>
      <color theme="1"/>
      <name val="Arial"/>
      <family val="2"/>
    </font>
    <font>
      <b/>
      <sz val="10"/>
      <color theme="1"/>
      <name val="Arial"/>
      <family val="2"/>
    </font>
    <font>
      <sz val="10"/>
      <color theme="0"/>
      <name val="Arial"/>
      <family val="2"/>
    </font>
    <font>
      <sz val="9"/>
      <color theme="1"/>
      <name val="Arial"/>
      <family val="2"/>
    </font>
    <font>
      <sz val="10"/>
      <color theme="1"/>
      <name val="Calibri"/>
      <family val="2"/>
      <scheme val="minor"/>
    </font>
    <font>
      <u/>
      <sz val="9"/>
      <color theme="1"/>
      <name val="Arial"/>
      <family val="2"/>
    </font>
    <font>
      <b/>
      <sz val="11"/>
      <color rgb="FFFF0000"/>
      <name val="Calibri"/>
      <family val="2"/>
      <scheme val="minor"/>
    </font>
    <font>
      <b/>
      <sz val="11"/>
      <color rgb="FFFF0000"/>
      <name val="Arial"/>
      <family val="2"/>
    </font>
    <font>
      <b/>
      <sz val="8"/>
      <color rgb="FFFF0000"/>
      <name val="Arial"/>
      <family val="2"/>
    </font>
    <font>
      <sz val="11"/>
      <color rgb="FF0070C0"/>
      <name val="Calibri"/>
      <family val="2"/>
      <scheme val="minor"/>
    </font>
    <font>
      <b/>
      <sz val="9"/>
      <color rgb="FF0070C0"/>
      <name val="Arial"/>
      <family val="2"/>
    </font>
    <font>
      <sz val="9"/>
      <color rgb="FF0070C0"/>
      <name val="Arial"/>
      <family val="2"/>
    </font>
    <font>
      <b/>
      <sz val="12"/>
      <color theme="1"/>
      <name val="Arial"/>
      <family val="2"/>
    </font>
    <font>
      <b/>
      <sz val="14"/>
      <color theme="1"/>
      <name val="Arial"/>
      <family val="2"/>
    </font>
    <font>
      <b/>
      <sz val="14"/>
      <name val="Arial"/>
      <family val="2"/>
    </font>
    <font>
      <b/>
      <sz val="10"/>
      <color theme="0"/>
      <name val="Arial"/>
      <family val="2"/>
    </font>
    <font>
      <sz val="11"/>
      <name val="Calibri"/>
      <family val="2"/>
      <scheme val="minor"/>
    </font>
    <font>
      <sz val="10"/>
      <color rgb="FF0070C0"/>
      <name val="Calibri"/>
      <family val="2"/>
      <scheme val="minor"/>
    </font>
    <font>
      <b/>
      <sz val="10"/>
      <color rgb="FF0070C0"/>
      <name val="Calibri"/>
      <family val="2"/>
      <scheme val="minor"/>
    </font>
    <font>
      <sz val="10"/>
      <name val="Calibri"/>
      <family val="2"/>
      <scheme val="minor"/>
    </font>
    <font>
      <sz val="11"/>
      <color rgb="FF808080"/>
      <name val="Calibri"/>
      <family val="2"/>
    </font>
    <font>
      <sz val="8"/>
      <color theme="1"/>
      <name val="Segoe UI"/>
      <family val="2"/>
    </font>
    <font>
      <b/>
      <sz val="8"/>
      <color theme="0"/>
      <name val="Segoe UI"/>
      <family val="2"/>
    </font>
    <font>
      <sz val="8"/>
      <color theme="1"/>
      <name val="Calibri"/>
      <family val="2"/>
      <scheme val="minor"/>
    </font>
    <font>
      <b/>
      <sz val="8"/>
      <color theme="1"/>
      <name val="Segoe UI"/>
      <family val="2"/>
    </font>
    <font>
      <b/>
      <sz val="8"/>
      <name val="Segoe UI"/>
      <family val="2"/>
    </font>
    <font>
      <b/>
      <sz val="8"/>
      <color theme="4"/>
      <name val="Segoe UI"/>
      <family val="2"/>
    </font>
    <font>
      <b/>
      <sz val="8"/>
      <color theme="3" tint="0.39997558519241921"/>
      <name val="Segoe UI"/>
      <family val="2"/>
    </font>
    <font>
      <b/>
      <sz val="12"/>
      <color theme="1"/>
      <name val="Segoe UI"/>
      <family val="2"/>
    </font>
    <font>
      <b/>
      <sz val="13"/>
      <name val="Arial"/>
      <family val="2"/>
    </font>
    <font>
      <b/>
      <sz val="8"/>
      <color rgb="FF0070C0"/>
      <name val="Segoe UI"/>
      <family val="2"/>
    </font>
    <font>
      <b/>
      <sz val="12"/>
      <name val="Segoe UI"/>
      <family val="2"/>
    </font>
    <font>
      <b/>
      <sz val="8"/>
      <color rgb="FFFF0000"/>
      <name val="Segoe UI"/>
      <family val="2"/>
    </font>
  </fonts>
  <fills count="18">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rgb="FFD9D9D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4" tint="0.79998168889431442"/>
        <bgColor indexed="31"/>
      </patternFill>
    </fill>
    <fill>
      <patternFill patternType="solid">
        <fgColor rgb="FFFFFF99"/>
        <bgColor indexed="64"/>
      </patternFill>
    </fill>
    <fill>
      <patternFill patternType="solid">
        <fgColor theme="0" tint="-0.249977111117893"/>
        <bgColor indexed="64"/>
      </patternFill>
    </fill>
    <fill>
      <patternFill patternType="solid">
        <fgColor theme="3" tint="0.39997558519241921"/>
        <bgColor indexed="64"/>
      </patternFill>
    </fill>
    <fill>
      <patternFill patternType="solid">
        <fgColor rgb="FF0070C0"/>
        <bgColor indexed="64"/>
      </patternFill>
    </fill>
    <fill>
      <patternFill patternType="solid">
        <fgColor rgb="FF7030A0"/>
        <bgColor indexed="64"/>
      </patternFill>
    </fill>
    <fill>
      <patternFill patternType="solid">
        <fgColor theme="3" tint="0.79998168889431442"/>
        <bgColor indexed="64"/>
      </patternFill>
    </fill>
    <fill>
      <patternFill patternType="solid">
        <fgColor rgb="FFFF0000"/>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diagonal/>
    </border>
    <border>
      <left/>
      <right/>
      <top/>
      <bottom style="medium">
        <color indexed="64"/>
      </bottom>
      <diagonal/>
    </border>
    <border>
      <left/>
      <right style="thin">
        <color indexed="64"/>
      </right>
      <top/>
      <bottom style="thin">
        <color indexed="64"/>
      </bottom>
      <diagonal/>
    </border>
    <border>
      <left/>
      <right/>
      <top style="medium">
        <color indexed="64"/>
      </top>
      <bottom/>
      <diagonal/>
    </border>
  </borders>
  <cellStyleXfs count="3">
    <xf numFmtId="0" fontId="0" fillId="0" borderId="0"/>
    <xf numFmtId="0" fontId="2" fillId="0" borderId="0"/>
    <xf numFmtId="0" fontId="2" fillId="0" borderId="0"/>
  </cellStyleXfs>
  <cellXfs count="270">
    <xf numFmtId="0" fontId="0" fillId="0" borderId="0" xfId="0"/>
    <xf numFmtId="0" fontId="5" fillId="2" borderId="1" xfId="0" applyFont="1" applyFill="1" applyBorder="1" applyAlignment="1">
      <alignment horizontal="center" vertical="center"/>
    </xf>
    <xf numFmtId="0" fontId="0" fillId="0" borderId="1" xfId="0" applyBorder="1" applyAlignment="1">
      <alignment horizontal="center" vertical="center"/>
    </xf>
    <xf numFmtId="0" fontId="7" fillId="0" borderId="0" xfId="0" applyFont="1" applyBorder="1" applyAlignment="1">
      <alignment horizontal="center"/>
    </xf>
    <xf numFmtId="0" fontId="7" fillId="0" borderId="0" xfId="0" applyFont="1" applyBorder="1"/>
    <xf numFmtId="0" fontId="4" fillId="0" borderId="0" xfId="0" applyFont="1" applyBorder="1" applyAlignment="1">
      <alignment horizontal="left" vertical="center" wrapText="1"/>
    </xf>
    <xf numFmtId="0" fontId="3" fillId="0" borderId="0" xfId="0" applyFont="1" applyBorder="1" applyAlignment="1">
      <alignment horizontal="center" vertical="center" wrapText="1"/>
    </xf>
    <xf numFmtId="0" fontId="10" fillId="0" borderId="0" xfId="0" applyFont="1"/>
    <xf numFmtId="0" fontId="1" fillId="2" borderId="1" xfId="0" applyFont="1" applyFill="1" applyBorder="1" applyAlignment="1">
      <alignment horizontal="center" vertical="center"/>
    </xf>
    <xf numFmtId="0" fontId="11" fillId="0" borderId="0" xfId="0" applyFont="1"/>
    <xf numFmtId="0" fontId="11" fillId="3" borderId="0" xfId="0" applyFont="1" applyFill="1"/>
    <xf numFmtId="0" fontId="0" fillId="3" borderId="0" xfId="0" applyFill="1"/>
    <xf numFmtId="0" fontId="13" fillId="3" borderId="0" xfId="0" applyFont="1" applyFill="1" applyAlignment="1">
      <alignment horizontal="right"/>
    </xf>
    <xf numFmtId="0" fontId="13" fillId="3" borderId="0" xfId="0" applyFont="1" applyFill="1" applyAlignment="1">
      <alignment horizontal="right" vertical="top"/>
    </xf>
    <xf numFmtId="0" fontId="11" fillId="0" borderId="1" xfId="0" applyFont="1" applyBorder="1" applyAlignment="1">
      <alignment vertical="top" wrapText="1"/>
    </xf>
    <xf numFmtId="0" fontId="13" fillId="4" borderId="1" xfId="0" applyFont="1" applyFill="1" applyBorder="1" applyAlignment="1">
      <alignment horizontal="left" vertical="center" wrapText="1"/>
    </xf>
    <xf numFmtId="0" fontId="1" fillId="5" borderId="1" xfId="0" applyFont="1" applyFill="1" applyBorder="1" applyAlignment="1">
      <alignment horizontal="center" vertical="center" wrapText="1"/>
    </xf>
    <xf numFmtId="0" fontId="13" fillId="3" borderId="8" xfId="0" applyFont="1" applyFill="1" applyBorder="1" applyAlignment="1">
      <alignment horizontal="left" vertical="center" wrapText="1" indent="1"/>
    </xf>
    <xf numFmtId="0" fontId="0" fillId="0" borderId="0" xfId="0" applyAlignment="1">
      <alignment vertical="center"/>
    </xf>
    <xf numFmtId="0" fontId="16" fillId="3" borderId="0" xfId="0" applyFont="1" applyFill="1" applyAlignment="1">
      <alignment vertical="center"/>
    </xf>
    <xf numFmtId="0" fontId="16" fillId="0" borderId="0" xfId="0" applyFont="1" applyAlignment="1">
      <alignment vertical="center"/>
    </xf>
    <xf numFmtId="0" fontId="5" fillId="2" borderId="1" xfId="0" applyFont="1" applyFill="1" applyBorder="1" applyAlignment="1">
      <alignment horizontal="center" vertical="center"/>
    </xf>
    <xf numFmtId="0" fontId="4" fillId="0" borderId="0" xfId="0" applyFont="1" applyBorder="1" applyAlignment="1">
      <alignment horizontal="left" vertical="center" wrapText="1"/>
    </xf>
    <xf numFmtId="0" fontId="5" fillId="2" borderId="2" xfId="0" applyFont="1" applyFill="1" applyBorder="1" applyAlignment="1">
      <alignment horizontal="center" vertical="center"/>
    </xf>
    <xf numFmtId="0" fontId="5" fillId="2" borderId="2" xfId="0" applyFont="1" applyFill="1" applyBorder="1" applyAlignment="1">
      <alignment horizontal="center" vertical="center"/>
    </xf>
    <xf numFmtId="0" fontId="4" fillId="0" borderId="0" xfId="0" applyFont="1" applyBorder="1" applyAlignment="1">
      <alignment horizontal="left" vertical="center" wrapText="1"/>
    </xf>
    <xf numFmtId="0" fontId="5" fillId="2" borderId="1" xfId="0" applyFont="1" applyFill="1" applyBorder="1" applyAlignment="1">
      <alignment horizontal="center" vertical="center"/>
    </xf>
    <xf numFmtId="0" fontId="5" fillId="2" borderId="1" xfId="0" applyFont="1" applyFill="1" applyBorder="1" applyAlignment="1">
      <alignment vertical="center"/>
    </xf>
    <xf numFmtId="0" fontId="17" fillId="3" borderId="0" xfId="0" applyFont="1" applyFill="1" applyBorder="1" applyAlignment="1">
      <alignment horizontal="left" wrapText="1"/>
    </xf>
    <xf numFmtId="0" fontId="15" fillId="3" borderId="0" xfId="0" applyFont="1" applyFill="1" applyBorder="1" applyAlignment="1">
      <alignment horizontal="left" wrapText="1"/>
    </xf>
    <xf numFmtId="0" fontId="12" fillId="3" borderId="0" xfId="0" applyFont="1" applyFill="1" applyBorder="1" applyAlignment="1">
      <alignment horizontal="left" wrapText="1"/>
    </xf>
    <xf numFmtId="0" fontId="15" fillId="3" borderId="0" xfId="0" applyFont="1" applyFill="1" applyBorder="1" applyAlignment="1">
      <alignment horizontal="left"/>
    </xf>
    <xf numFmtId="0" fontId="12" fillId="0" borderId="0" xfId="0" applyFont="1"/>
    <xf numFmtId="0" fontId="12" fillId="3" borderId="0" xfId="0" applyFont="1" applyFill="1" applyBorder="1" applyAlignment="1">
      <alignment horizontal="left"/>
    </xf>
    <xf numFmtId="0" fontId="18" fillId="0" borderId="0" xfId="0" applyFont="1"/>
    <xf numFmtId="0" fontId="19" fillId="0" borderId="0" xfId="0" applyFont="1"/>
    <xf numFmtId="0" fontId="20" fillId="0" borderId="0" xfId="0" applyFont="1" applyBorder="1"/>
    <xf numFmtId="0" fontId="14" fillId="3" borderId="5" xfId="0" applyFont="1" applyFill="1" applyBorder="1" applyAlignment="1">
      <alignment horizontal="center" vertical="center" wrapText="1"/>
    </xf>
    <xf numFmtId="0" fontId="13" fillId="3" borderId="11" xfId="0" applyFont="1" applyFill="1" applyBorder="1" applyAlignment="1">
      <alignment horizontal="left" vertical="center" wrapText="1" indent="1"/>
    </xf>
    <xf numFmtId="0" fontId="11" fillId="3" borderId="0" xfId="0" applyFont="1" applyFill="1" applyAlignment="1">
      <alignment vertical="top" wrapText="1"/>
    </xf>
    <xf numFmtId="0" fontId="0" fillId="3" borderId="0" xfId="0" applyFill="1" applyAlignment="1">
      <alignment vertical="top" wrapText="1"/>
    </xf>
    <xf numFmtId="0" fontId="0" fillId="0" borderId="0" xfId="0" applyAlignment="1">
      <alignment vertical="top" wrapText="1"/>
    </xf>
    <xf numFmtId="0" fontId="2" fillId="6" borderId="2" xfId="0" applyFont="1" applyFill="1" applyBorder="1" applyAlignment="1">
      <alignment horizontal="center" vertical="center" wrapText="1"/>
    </xf>
    <xf numFmtId="0" fontId="11" fillId="6" borderId="1" xfId="0" applyFont="1" applyFill="1" applyBorder="1" applyAlignment="1">
      <alignment horizontal="center" vertical="center"/>
    </xf>
    <xf numFmtId="0" fontId="11" fillId="6" borderId="2" xfId="0" applyFont="1" applyFill="1" applyBorder="1" applyAlignment="1">
      <alignment horizontal="center" vertical="center"/>
    </xf>
    <xf numFmtId="0" fontId="1" fillId="6" borderId="1" xfId="0" applyFont="1" applyFill="1" applyBorder="1" applyAlignment="1">
      <alignment horizontal="center" vertical="center" wrapText="1"/>
    </xf>
    <xf numFmtId="0" fontId="11" fillId="3" borderId="4" xfId="0" applyFont="1" applyFill="1" applyBorder="1" applyAlignment="1">
      <alignment vertical="top" wrapText="1"/>
    </xf>
    <xf numFmtId="0" fontId="11" fillId="3" borderId="0" xfId="0" applyFont="1" applyFill="1"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1" fillId="2" borderId="3" xfId="0" applyFont="1" applyFill="1" applyBorder="1" applyAlignment="1">
      <alignment horizontal="left"/>
    </xf>
    <xf numFmtId="0" fontId="1" fillId="2" borderId="1" xfId="0" applyFont="1" applyFill="1" applyBorder="1" applyAlignment="1">
      <alignment horizontal="left"/>
    </xf>
    <xf numFmtId="0" fontId="10" fillId="6" borderId="1" xfId="0" applyFont="1" applyFill="1" applyBorder="1"/>
    <xf numFmtId="0" fontId="1" fillId="6" borderId="1" xfId="0" applyFont="1" applyFill="1" applyBorder="1" applyAlignment="1">
      <alignment horizontal="center"/>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0" fontId="0" fillId="6" borderId="1" xfId="0" applyFill="1" applyBorder="1" applyAlignment="1">
      <alignment horizontal="center" vertical="center"/>
    </xf>
    <xf numFmtId="0" fontId="0" fillId="6" borderId="2" xfId="0" applyFill="1" applyBorder="1" applyAlignment="1">
      <alignment horizontal="center" vertical="center"/>
    </xf>
    <xf numFmtId="1" fontId="7" fillId="6" borderId="1" xfId="0" applyNumberFormat="1" applyFont="1" applyFill="1" applyBorder="1" applyAlignment="1">
      <alignment horizontal="center" vertical="center"/>
    </xf>
    <xf numFmtId="0" fontId="0" fillId="6" borderId="4" xfId="0" applyFill="1" applyBorder="1" applyAlignment="1">
      <alignment horizontal="center"/>
    </xf>
    <xf numFmtId="0" fontId="0" fillId="6" borderId="5" xfId="0" applyFill="1" applyBorder="1" applyAlignment="1">
      <alignment horizontal="center"/>
    </xf>
    <xf numFmtId="0" fontId="0" fillId="6" borderId="2" xfId="0" applyFill="1" applyBorder="1" applyAlignment="1">
      <alignment horizontal="center"/>
    </xf>
    <xf numFmtId="1" fontId="7" fillId="6" borderId="1" xfId="0" applyNumberFormat="1" applyFont="1" applyFill="1" applyBorder="1" applyAlignment="1">
      <alignment horizontal="center"/>
    </xf>
    <xf numFmtId="0" fontId="7" fillId="6" borderId="1" xfId="0" applyFont="1" applyFill="1" applyBorder="1" applyAlignment="1">
      <alignment horizontal="center" vertical="center" wrapText="1"/>
    </xf>
    <xf numFmtId="0" fontId="16" fillId="6" borderId="1" xfId="0" applyFont="1" applyFill="1" applyBorder="1" applyAlignment="1">
      <alignment vertical="center"/>
    </xf>
    <xf numFmtId="0" fontId="16" fillId="6" borderId="1" xfId="0" applyFont="1" applyFill="1" applyBorder="1" applyAlignment="1">
      <alignment vertical="center" wrapText="1"/>
    </xf>
    <xf numFmtId="0" fontId="5" fillId="2" borderId="1" xfId="0" applyFont="1" applyFill="1" applyBorder="1" applyAlignment="1">
      <alignment vertical="top" wrapText="1"/>
    </xf>
    <xf numFmtId="0" fontId="16" fillId="0" borderId="0" xfId="0" applyFont="1" applyAlignment="1">
      <alignment vertical="top" wrapText="1"/>
    </xf>
    <xf numFmtId="0" fontId="5" fillId="2" borderId="1" xfId="0" applyFont="1" applyFill="1" applyBorder="1" applyAlignment="1">
      <alignment vertical="center" wrapText="1"/>
    </xf>
    <xf numFmtId="0" fontId="0" fillId="6" borderId="2" xfId="0" applyFill="1" applyBorder="1" applyAlignment="1">
      <alignment vertical="center"/>
    </xf>
    <xf numFmtId="0" fontId="0" fillId="6" borderId="1" xfId="0" applyFill="1" applyBorder="1" applyAlignment="1">
      <alignment vertical="center" wrapText="1"/>
    </xf>
    <xf numFmtId="0" fontId="0" fillId="6" borderId="4" xfId="0" applyFill="1" applyBorder="1" applyAlignment="1">
      <alignment vertical="center"/>
    </xf>
    <xf numFmtId="0" fontId="0" fillId="6" borderId="12" xfId="0" applyFill="1" applyBorder="1" applyAlignment="1">
      <alignment vertical="center"/>
    </xf>
    <xf numFmtId="0" fontId="0" fillId="6" borderId="3" xfId="0" applyFill="1" applyBorder="1" applyAlignment="1">
      <alignment vertical="center" wrapText="1"/>
    </xf>
    <xf numFmtId="0" fontId="0" fillId="6" borderId="8" xfId="0" applyFill="1" applyBorder="1" applyAlignment="1">
      <alignment vertical="center"/>
    </xf>
    <xf numFmtId="0" fontId="0" fillId="3" borderId="0" xfId="0" applyFill="1" applyAlignment="1">
      <alignment vertical="center"/>
    </xf>
    <xf numFmtId="0" fontId="13" fillId="3" borderId="0" xfId="0" applyFont="1" applyFill="1" applyAlignment="1">
      <alignment vertical="top" wrapText="1"/>
    </xf>
    <xf numFmtId="0" fontId="21" fillId="3" borderId="0" xfId="0" applyFont="1" applyFill="1" applyAlignment="1">
      <alignment vertical="top" wrapText="1"/>
    </xf>
    <xf numFmtId="0" fontId="2" fillId="6" borderId="1" xfId="0" applyFont="1" applyFill="1" applyBorder="1" applyAlignment="1">
      <alignment horizontal="center" vertical="top" wrapText="1"/>
    </xf>
    <xf numFmtId="0" fontId="2" fillId="6" borderId="1" xfId="0" applyFont="1" applyFill="1" applyBorder="1" applyAlignment="1">
      <alignment horizontal="center" vertical="center" wrapText="1"/>
    </xf>
    <xf numFmtId="0" fontId="16" fillId="0" borderId="0" xfId="0" applyFont="1"/>
    <xf numFmtId="0" fontId="21" fillId="3" borderId="0" xfId="0" applyFont="1" applyFill="1" applyAlignment="1">
      <alignment vertical="center" wrapText="1"/>
    </xf>
    <xf numFmtId="0" fontId="7" fillId="8" borderId="1" xfId="0" applyFont="1" applyFill="1" applyBorder="1" applyAlignment="1">
      <alignment horizontal="left" vertical="center" wrapText="1"/>
    </xf>
    <xf numFmtId="0" fontId="7" fillId="8" borderId="1" xfId="0" applyFont="1" applyFill="1" applyBorder="1" applyAlignment="1">
      <alignment horizontal="left" vertical="top" wrapText="1"/>
    </xf>
    <xf numFmtId="0" fontId="13" fillId="6" borderId="1" xfId="0" applyFont="1" applyFill="1" applyBorder="1" applyAlignment="1">
      <alignment vertical="top" wrapText="1"/>
    </xf>
    <xf numFmtId="0" fontId="0" fillId="3" borderId="0" xfId="0" applyFill="1" applyAlignment="1">
      <alignment vertical="top"/>
    </xf>
    <xf numFmtId="0" fontId="0" fillId="0" borderId="0" xfId="0" applyAlignment="1">
      <alignment vertical="top"/>
    </xf>
    <xf numFmtId="0" fontId="2" fillId="6" borderId="1" xfId="0" applyFont="1" applyFill="1" applyBorder="1" applyAlignment="1">
      <alignment horizontal="center" vertical="top"/>
    </xf>
    <xf numFmtId="0" fontId="13" fillId="6" borderId="1" xfId="0" applyFont="1" applyFill="1" applyBorder="1" applyAlignment="1">
      <alignment vertical="top"/>
    </xf>
    <xf numFmtId="0" fontId="2" fillId="6" borderId="2" xfId="0" applyFont="1" applyFill="1" applyBorder="1" applyAlignment="1">
      <alignment horizontal="center" vertical="top" wrapText="1"/>
    </xf>
    <xf numFmtId="0" fontId="1" fillId="4" borderId="1" xfId="0" applyFont="1" applyFill="1" applyBorder="1" applyAlignment="1">
      <alignment horizontal="left" vertical="center" wrapText="1"/>
    </xf>
    <xf numFmtId="0" fontId="13" fillId="9" borderId="1" xfId="0" applyFont="1" applyFill="1" applyBorder="1" applyAlignment="1">
      <alignment vertical="top" wrapText="1"/>
    </xf>
    <xf numFmtId="0" fontId="13" fillId="9" borderId="1" xfId="0" applyFont="1" applyFill="1" applyBorder="1" applyAlignment="1">
      <alignment horizontal="left" vertical="center" wrapText="1"/>
    </xf>
    <xf numFmtId="0" fontId="27" fillId="9" borderId="1" xfId="0" applyFont="1" applyFill="1" applyBorder="1" applyAlignment="1">
      <alignment horizontal="left" vertical="center" wrapText="1"/>
    </xf>
    <xf numFmtId="0" fontId="27" fillId="9" borderId="1" xfId="0" applyFont="1" applyFill="1" applyBorder="1" applyAlignment="1">
      <alignment horizontal="center" vertical="center" wrapText="1"/>
    </xf>
    <xf numFmtId="0" fontId="1" fillId="9" borderId="1" xfId="0" applyFont="1" applyFill="1" applyBorder="1" applyAlignment="1">
      <alignment horizontal="left" vertical="center" wrapText="1"/>
    </xf>
    <xf numFmtId="0" fontId="11" fillId="3" borderId="0" xfId="0" applyFont="1" applyFill="1" applyAlignment="1">
      <alignment vertical="center" wrapText="1"/>
    </xf>
    <xf numFmtId="0" fontId="11" fillId="0" borderId="1" xfId="0" applyFont="1" applyBorder="1" applyAlignment="1">
      <alignment vertical="center" wrapText="1"/>
    </xf>
    <xf numFmtId="0" fontId="0" fillId="6" borderId="1" xfId="0" applyFill="1" applyBorder="1" applyAlignment="1">
      <alignment horizontal="center" vertical="center" wrapText="1"/>
    </xf>
    <xf numFmtId="0" fontId="0" fillId="3" borderId="0" xfId="0" applyFill="1" applyAlignment="1">
      <alignment vertical="center" wrapText="1"/>
    </xf>
    <xf numFmtId="0" fontId="0" fillId="0" borderId="0" xfId="0" applyAlignment="1">
      <alignment vertical="center" wrapText="1"/>
    </xf>
    <xf numFmtId="0" fontId="13" fillId="3" borderId="0" xfId="0" applyFont="1" applyFill="1" applyAlignment="1">
      <alignment vertical="center" wrapText="1"/>
    </xf>
    <xf numFmtId="0" fontId="9" fillId="3" borderId="0" xfId="0" applyFont="1" applyFill="1" applyAlignment="1">
      <alignment vertical="center" wrapText="1"/>
    </xf>
    <xf numFmtId="0" fontId="9" fillId="0" borderId="0" xfId="0" applyFont="1" applyAlignment="1">
      <alignment vertical="center" wrapText="1"/>
    </xf>
    <xf numFmtId="0" fontId="1" fillId="3" borderId="1" xfId="0" applyFont="1" applyFill="1" applyBorder="1" applyAlignment="1">
      <alignment vertical="center"/>
    </xf>
    <xf numFmtId="0" fontId="11" fillId="3" borderId="0" xfId="0" applyFont="1" applyFill="1" applyAlignment="1">
      <alignment vertical="center"/>
    </xf>
    <xf numFmtId="0" fontId="11" fillId="3" borderId="1" xfId="0" applyFont="1" applyFill="1" applyBorder="1" applyAlignment="1">
      <alignment vertical="center" wrapText="1"/>
    </xf>
    <xf numFmtId="0" fontId="11" fillId="3" borderId="1" xfId="0" applyFont="1" applyFill="1" applyBorder="1" applyAlignment="1">
      <alignment vertical="center"/>
    </xf>
    <xf numFmtId="0" fontId="13" fillId="3" borderId="8" xfId="0" applyFont="1" applyFill="1" applyBorder="1" applyAlignment="1">
      <alignment horizontal="left" vertical="center" wrapText="1"/>
    </xf>
    <xf numFmtId="0" fontId="11" fillId="3" borderId="9" xfId="0" applyFont="1" applyFill="1" applyBorder="1" applyAlignment="1">
      <alignment horizontal="left" vertical="center" wrapText="1"/>
    </xf>
    <xf numFmtId="0" fontId="11" fillId="3" borderId="10" xfId="0" applyFont="1" applyFill="1" applyBorder="1" applyAlignment="1">
      <alignment horizontal="left" vertical="center" wrapText="1"/>
    </xf>
    <xf numFmtId="0" fontId="1" fillId="9" borderId="1" xfId="0" applyFont="1" applyFill="1" applyBorder="1" applyAlignment="1">
      <alignment horizontal="center" vertical="center" wrapText="1"/>
    </xf>
    <xf numFmtId="0" fontId="1" fillId="9" borderId="1" xfId="0" applyFont="1" applyFill="1" applyBorder="1" applyAlignment="1">
      <alignment vertical="top" wrapText="1"/>
    </xf>
    <xf numFmtId="0" fontId="13" fillId="9" borderId="1" xfId="0" applyFont="1" applyFill="1" applyBorder="1" applyAlignment="1">
      <alignment vertical="center" wrapText="1"/>
    </xf>
    <xf numFmtId="0" fontId="13" fillId="5" borderId="2" xfId="0" applyFont="1" applyFill="1" applyBorder="1" applyAlignment="1">
      <alignment vertical="center" wrapText="1"/>
    </xf>
    <xf numFmtId="0" fontId="11" fillId="5" borderId="4" xfId="0" applyFont="1" applyFill="1" applyBorder="1" applyAlignment="1">
      <alignment vertical="center" wrapText="1"/>
    </xf>
    <xf numFmtId="0" fontId="11" fillId="6" borderId="1" xfId="0" applyFont="1" applyFill="1" applyBorder="1" applyAlignment="1">
      <alignment horizontal="center" vertical="center" wrapText="1"/>
    </xf>
    <xf numFmtId="0" fontId="2" fillId="3" borderId="1" xfId="0" applyFont="1" applyFill="1" applyBorder="1" applyAlignment="1">
      <alignment vertical="center" wrapText="1"/>
    </xf>
    <xf numFmtId="0" fontId="2" fillId="3" borderId="0" xfId="0" applyFont="1" applyFill="1" applyAlignment="1">
      <alignment vertical="center" wrapText="1"/>
    </xf>
    <xf numFmtId="0" fontId="28" fillId="3" borderId="0" xfId="0" applyFont="1" applyFill="1" applyAlignment="1">
      <alignment vertical="center" wrapText="1"/>
    </xf>
    <xf numFmtId="0" fontId="29" fillId="3" borderId="0" xfId="0" applyFont="1" applyFill="1" applyAlignment="1">
      <alignment vertical="top" wrapText="1"/>
    </xf>
    <xf numFmtId="0" fontId="29" fillId="3" borderId="0" xfId="0" applyFont="1" applyFill="1" applyAlignment="1">
      <alignment vertical="center" wrapText="1"/>
    </xf>
    <xf numFmtId="0" fontId="30" fillId="3" borderId="0" xfId="0" applyFont="1" applyFill="1" applyAlignment="1">
      <alignment vertical="top" wrapText="1"/>
    </xf>
    <xf numFmtId="0" fontId="30" fillId="3" borderId="0" xfId="0" applyFont="1" applyFill="1" applyAlignment="1">
      <alignment vertical="center" wrapText="1"/>
    </xf>
    <xf numFmtId="0" fontId="31" fillId="3" borderId="0" xfId="0" applyFont="1" applyFill="1" applyAlignment="1">
      <alignment vertical="center" wrapText="1"/>
    </xf>
    <xf numFmtId="0" fontId="0" fillId="0" borderId="1" xfId="0" applyBorder="1" applyAlignment="1">
      <alignment horizontal="center" vertical="center"/>
    </xf>
    <xf numFmtId="0" fontId="4" fillId="0" borderId="0" xfId="0" applyFont="1" applyBorder="1" applyAlignment="1">
      <alignment horizontal="left" vertical="center" wrapText="1"/>
    </xf>
    <xf numFmtId="0" fontId="32" fillId="0" borderId="0" xfId="0" applyFont="1"/>
    <xf numFmtId="0" fontId="0" fillId="6" borderId="0" xfId="0" applyFill="1" applyAlignment="1">
      <alignment vertical="center"/>
    </xf>
    <xf numFmtId="0" fontId="9" fillId="0" borderId="0" xfId="0" applyFont="1" applyAlignment="1">
      <alignment vertical="center"/>
    </xf>
    <xf numFmtId="0" fontId="0" fillId="0" borderId="0" xfId="0" applyAlignment="1">
      <alignment horizontal="center" vertical="center"/>
    </xf>
    <xf numFmtId="0" fontId="9" fillId="6" borderId="1" xfId="0" applyFont="1" applyFill="1" applyBorder="1" applyAlignment="1">
      <alignment horizontal="center" vertical="center" wrapText="1"/>
    </xf>
    <xf numFmtId="0" fontId="0" fillId="0" borderId="1" xfId="0" applyBorder="1" applyAlignment="1">
      <alignment vertical="center"/>
    </xf>
    <xf numFmtId="0" fontId="0" fillId="0" borderId="1" xfId="0" applyBorder="1" applyAlignment="1">
      <alignment vertical="center" wrapText="1"/>
    </xf>
    <xf numFmtId="0" fontId="33" fillId="0" borderId="0" xfId="0" applyFont="1" applyAlignment="1">
      <alignment vertical="center"/>
    </xf>
    <xf numFmtId="0" fontId="35" fillId="0" borderId="0" xfId="0" applyFont="1" applyAlignment="1">
      <alignment vertical="center"/>
    </xf>
    <xf numFmtId="0" fontId="36" fillId="11" borderId="0" xfId="0" applyFont="1" applyFill="1" applyAlignment="1">
      <alignment vertical="center"/>
    </xf>
    <xf numFmtId="0" fontId="35" fillId="0" borderId="0" xfId="0" applyFont="1"/>
    <xf numFmtId="0" fontId="33" fillId="0" borderId="0" xfId="0" applyFont="1" applyAlignment="1">
      <alignment vertical="top" wrapText="1"/>
    </xf>
    <xf numFmtId="0" fontId="36" fillId="11" borderId="1" xfId="0" applyFont="1" applyFill="1" applyBorder="1" applyAlignment="1">
      <alignment horizontal="left" vertical="top" wrapText="1"/>
    </xf>
    <xf numFmtId="0" fontId="36" fillId="12" borderId="1" xfId="0" applyFont="1" applyFill="1" applyBorder="1" applyAlignment="1">
      <alignment horizontal="left" vertical="top" wrapText="1"/>
    </xf>
    <xf numFmtId="0" fontId="36" fillId="13" borderId="1" xfId="0" applyFont="1" applyFill="1" applyBorder="1" applyAlignment="1">
      <alignment horizontal="left" vertical="top" wrapText="1"/>
    </xf>
    <xf numFmtId="0" fontId="36" fillId="14" borderId="1" xfId="0" applyFont="1" applyFill="1" applyBorder="1" applyAlignment="1">
      <alignment horizontal="left" vertical="top" wrapText="1"/>
    </xf>
    <xf numFmtId="0" fontId="36" fillId="15" borderId="1" xfId="0" applyFont="1" applyFill="1" applyBorder="1" applyAlignment="1">
      <alignment horizontal="left" vertical="top" wrapText="1"/>
    </xf>
    <xf numFmtId="0" fontId="35" fillId="0" borderId="0" xfId="0" applyFont="1" applyAlignment="1">
      <alignment vertical="top"/>
    </xf>
    <xf numFmtId="0" fontId="33" fillId="11" borderId="1" xfId="0" applyFont="1" applyFill="1" applyBorder="1" applyAlignment="1">
      <alignment vertical="top" wrapText="1"/>
    </xf>
    <xf numFmtId="0" fontId="33" fillId="12" borderId="1" xfId="0" applyFont="1" applyFill="1" applyBorder="1" applyAlignment="1">
      <alignment horizontal="left" vertical="top" wrapText="1"/>
    </xf>
    <xf numFmtId="0" fontId="33" fillId="12" borderId="1" xfId="0" applyFont="1" applyFill="1" applyBorder="1" applyAlignment="1">
      <alignment vertical="top" wrapText="1"/>
    </xf>
    <xf numFmtId="0" fontId="33" fillId="13" borderId="1" xfId="0" applyFont="1" applyFill="1" applyBorder="1" applyAlignment="1">
      <alignment vertical="top" wrapText="1"/>
    </xf>
    <xf numFmtId="0" fontId="33" fillId="14" borderId="1" xfId="0" applyFont="1" applyFill="1" applyBorder="1" applyAlignment="1">
      <alignment vertical="top" wrapText="1"/>
    </xf>
    <xf numFmtId="0" fontId="33" fillId="14" borderId="1" xfId="0" applyFont="1" applyFill="1" applyBorder="1" applyAlignment="1">
      <alignment horizontal="left" vertical="top" wrapText="1"/>
    </xf>
    <xf numFmtId="0" fontId="33" fillId="15" borderId="1" xfId="0" applyFont="1" applyFill="1" applyBorder="1" applyAlignment="1">
      <alignment vertical="top" wrapText="1"/>
    </xf>
    <xf numFmtId="0" fontId="35" fillId="0" borderId="0" xfId="0" applyFont="1" applyAlignment="1">
      <alignment vertical="top" wrapText="1"/>
    </xf>
    <xf numFmtId="0" fontId="35" fillId="3" borderId="0" xfId="0" applyFont="1" applyFill="1" applyAlignment="1">
      <alignment vertical="top" wrapText="1"/>
    </xf>
    <xf numFmtId="0" fontId="36" fillId="11" borderId="1" xfId="0" applyFont="1" applyFill="1" applyBorder="1" applyAlignment="1">
      <alignment horizontal="center" vertical="center" wrapText="1"/>
    </xf>
    <xf numFmtId="0" fontId="37" fillId="12" borderId="1" xfId="0" applyFont="1" applyFill="1" applyBorder="1" applyAlignment="1">
      <alignment horizontal="center" vertical="center" wrapText="1"/>
    </xf>
    <xf numFmtId="0" fontId="37" fillId="13" borderId="1" xfId="0" applyFont="1" applyFill="1" applyBorder="1" applyAlignment="1">
      <alignment horizontal="center" vertical="center" wrapText="1"/>
    </xf>
    <xf numFmtId="0" fontId="37" fillId="14" borderId="1" xfId="0" applyFont="1" applyFill="1" applyBorder="1" applyAlignment="1">
      <alignment horizontal="center" vertical="center" wrapText="1"/>
    </xf>
    <xf numFmtId="0" fontId="37" fillId="15" borderId="1" xfId="0" applyFont="1" applyFill="1" applyBorder="1" applyAlignment="1">
      <alignment horizontal="center" vertical="center" wrapText="1"/>
    </xf>
    <xf numFmtId="0" fontId="36" fillId="16" borderId="1" xfId="0" applyFont="1" applyFill="1" applyBorder="1" applyAlignment="1">
      <alignment vertical="top" wrapText="1"/>
    </xf>
    <xf numFmtId="0" fontId="33" fillId="16" borderId="1" xfId="0" applyFont="1" applyFill="1" applyBorder="1" applyAlignment="1">
      <alignment vertical="top" wrapText="1"/>
    </xf>
    <xf numFmtId="0" fontId="35" fillId="3" borderId="0" xfId="0" applyFont="1" applyFill="1"/>
    <xf numFmtId="0" fontId="40" fillId="0" borderId="1" xfId="0" applyFont="1" applyBorder="1" applyAlignment="1">
      <alignment horizontal="center" vertical="center" wrapText="1"/>
    </xf>
    <xf numFmtId="0" fontId="40" fillId="0" borderId="1" xfId="0" applyFont="1" applyBorder="1" applyAlignment="1">
      <alignment horizontal="center" vertical="center"/>
    </xf>
    <xf numFmtId="0" fontId="40" fillId="3" borderId="1" xfId="0" applyFont="1" applyFill="1" applyBorder="1" applyAlignment="1">
      <alignment horizontal="center" vertical="center"/>
    </xf>
    <xf numFmtId="0" fontId="35" fillId="3" borderId="0" xfId="0" applyFont="1" applyFill="1" applyAlignment="1">
      <alignment vertical="center"/>
    </xf>
    <xf numFmtId="0" fontId="36" fillId="3" borderId="1" xfId="0" applyFont="1" applyFill="1" applyBorder="1" applyAlignment="1">
      <alignment vertical="center" wrapText="1"/>
    </xf>
    <xf numFmtId="0" fontId="40" fillId="3" borderId="1" xfId="0" applyFont="1" applyFill="1" applyBorder="1" applyAlignment="1">
      <alignment horizontal="center" vertical="center" wrapText="1"/>
    </xf>
    <xf numFmtId="0" fontId="36" fillId="0" borderId="1" xfId="0" applyFont="1" applyBorder="1" applyAlignment="1">
      <alignment vertical="center" wrapText="1"/>
    </xf>
    <xf numFmtId="0" fontId="36" fillId="0" borderId="1" xfId="0" quotePrefix="1" applyFont="1" applyBorder="1" applyAlignment="1">
      <alignment vertical="center" wrapText="1"/>
    </xf>
    <xf numFmtId="0" fontId="40" fillId="0" borderId="1" xfId="0" quotePrefix="1" applyFont="1" applyBorder="1" applyAlignment="1">
      <alignment horizontal="center" vertical="center" wrapText="1"/>
    </xf>
    <xf numFmtId="0" fontId="35" fillId="0" borderId="0" xfId="0" applyFont="1" applyAlignment="1">
      <alignment horizontal="center"/>
    </xf>
    <xf numFmtId="0" fontId="4" fillId="0" borderId="0" xfId="0" applyFont="1" applyBorder="1" applyAlignment="1">
      <alignment horizontal="left" vertical="center" wrapText="1"/>
    </xf>
    <xf numFmtId="0" fontId="4" fillId="0" borderId="0" xfId="0" applyFont="1" applyBorder="1" applyAlignment="1">
      <alignment horizontal="left" vertical="center" wrapText="1"/>
    </xf>
    <xf numFmtId="0" fontId="2" fillId="0" borderId="0" xfId="0" applyFont="1" applyBorder="1" applyAlignment="1">
      <alignment vertical="center" wrapText="1"/>
    </xf>
    <xf numFmtId="0" fontId="5" fillId="2" borderId="1" xfId="0" applyFont="1" applyFill="1" applyBorder="1" applyAlignment="1">
      <alignment horizontal="center" vertical="center"/>
    </xf>
    <xf numFmtId="0" fontId="2" fillId="0" borderId="0" xfId="0" applyFont="1" applyBorder="1" applyAlignment="1">
      <alignment horizontal="left" vertical="center" wrapText="1"/>
    </xf>
    <xf numFmtId="0" fontId="1" fillId="0" borderId="0" xfId="0" applyFont="1" applyBorder="1" applyAlignment="1">
      <alignment horizontal="left" vertical="center" wrapText="1"/>
    </xf>
    <xf numFmtId="0" fontId="3" fillId="0" borderId="0" xfId="0" applyFont="1" applyBorder="1" applyAlignment="1">
      <alignment horizontal="center" vertical="center" wrapText="1"/>
    </xf>
    <xf numFmtId="0" fontId="0" fillId="0" borderId="1" xfId="0" applyBorder="1" applyAlignment="1">
      <alignment horizontal="center" vertical="center"/>
    </xf>
    <xf numFmtId="0" fontId="36" fillId="12" borderId="1" xfId="0" applyFont="1" applyFill="1" applyBorder="1" applyAlignment="1">
      <alignment horizontal="center" vertical="center" wrapText="1"/>
    </xf>
    <xf numFmtId="0" fontId="39" fillId="0" borderId="1" xfId="0" applyFont="1" applyBorder="1" applyAlignment="1">
      <alignment horizontal="center" vertical="center" wrapText="1"/>
    </xf>
    <xf numFmtId="0" fontId="11" fillId="0" borderId="0" xfId="0" applyFont="1" applyAlignment="1">
      <alignment horizontal="center"/>
    </xf>
    <xf numFmtId="0" fontId="4" fillId="0" borderId="0" xfId="0" applyFont="1" applyBorder="1" applyAlignment="1">
      <alignment horizontal="center" vertical="center" wrapText="1"/>
    </xf>
    <xf numFmtId="0" fontId="10" fillId="6" borderId="1" xfId="0" applyFont="1" applyFill="1" applyBorder="1" applyAlignment="1">
      <alignment horizontal="center"/>
    </xf>
    <xf numFmtId="0" fontId="10" fillId="0" borderId="0" xfId="0" applyFont="1" applyAlignment="1">
      <alignment horizontal="center"/>
    </xf>
    <xf numFmtId="20" fontId="10" fillId="6" borderId="1" xfId="0" applyNumberFormat="1" applyFont="1" applyFill="1" applyBorder="1" applyAlignment="1">
      <alignment horizontal="center"/>
    </xf>
    <xf numFmtId="0" fontId="0" fillId="0" borderId="0" xfId="0" applyAlignment="1">
      <alignment horizontal="center"/>
    </xf>
    <xf numFmtId="0" fontId="0" fillId="6" borderId="4" xfId="0" applyFill="1" applyBorder="1" applyAlignment="1">
      <alignment horizontal="left" vertical="center" wrapText="1"/>
    </xf>
    <xf numFmtId="0" fontId="0" fillId="6" borderId="5" xfId="0" applyFill="1" applyBorder="1" applyAlignment="1">
      <alignment horizontal="left" vertical="center"/>
    </xf>
    <xf numFmtId="0" fontId="0" fillId="6" borderId="2" xfId="0" applyFill="1" applyBorder="1" applyAlignment="1">
      <alignment horizontal="left" vertical="center"/>
    </xf>
    <xf numFmtId="0" fontId="5" fillId="2" borderId="1" xfId="0" applyFont="1" applyFill="1" applyBorder="1" applyAlignment="1">
      <alignment horizontal="center" vertical="center"/>
    </xf>
    <xf numFmtId="0" fontId="1" fillId="0" borderId="0" xfId="0" applyFont="1" applyBorder="1" applyAlignment="1">
      <alignment horizontal="left" vertical="center" wrapText="1"/>
    </xf>
    <xf numFmtId="0" fontId="0" fillId="0" borderId="1" xfId="0" applyBorder="1" applyAlignment="1">
      <alignment horizontal="center" vertical="center"/>
    </xf>
    <xf numFmtId="0" fontId="44" fillId="17" borderId="1" xfId="0" applyFont="1" applyFill="1" applyBorder="1" applyAlignment="1">
      <alignment vertical="top" wrapText="1"/>
    </xf>
    <xf numFmtId="0" fontId="37" fillId="12" borderId="1" xfId="0" quotePrefix="1" applyFont="1" applyFill="1" applyBorder="1" applyAlignment="1">
      <alignment horizontal="center" vertical="center" wrapText="1"/>
    </xf>
    <xf numFmtId="0" fontId="37" fillId="13" borderId="1" xfId="0" quotePrefix="1" applyFont="1" applyFill="1" applyBorder="1" applyAlignment="1">
      <alignment horizontal="center" vertical="center" wrapText="1"/>
    </xf>
    <xf numFmtId="0" fontId="37" fillId="14" borderId="1" xfId="0" quotePrefix="1" applyFont="1" applyFill="1" applyBorder="1" applyAlignment="1">
      <alignment horizontal="center" vertical="center" wrapText="1"/>
    </xf>
    <xf numFmtId="0" fontId="37" fillId="15" borderId="1" xfId="0" quotePrefix="1" applyFont="1" applyFill="1" applyBorder="1" applyAlignment="1">
      <alignment horizontal="center" vertical="center" wrapText="1"/>
    </xf>
    <xf numFmtId="0" fontId="0" fillId="0" borderId="1" xfId="0" applyBorder="1" applyAlignment="1">
      <alignment horizontal="center" vertical="center"/>
    </xf>
    <xf numFmtId="0" fontId="43" fillId="0" borderId="1" xfId="0" applyFont="1" applyBorder="1" applyAlignment="1">
      <alignment horizontal="center" vertical="center" wrapText="1"/>
    </xf>
    <xf numFmtId="0" fontId="11" fillId="0" borderId="1" xfId="0" applyFont="1" applyFill="1" applyBorder="1" applyAlignment="1">
      <alignment horizontal="center" vertical="center"/>
    </xf>
    <xf numFmtId="0" fontId="13" fillId="6" borderId="1" xfId="0" applyFont="1" applyFill="1" applyBorder="1" applyAlignment="1">
      <alignment horizontal="center" vertical="center" wrapText="1"/>
    </xf>
    <xf numFmtId="20" fontId="2" fillId="0" borderId="3" xfId="0" applyNumberFormat="1" applyFont="1" applyFill="1" applyBorder="1" applyAlignment="1">
      <alignment horizontal="left"/>
    </xf>
    <xf numFmtId="0" fontId="2" fillId="0" borderId="1" xfId="0" applyFont="1" applyFill="1" applyBorder="1" applyAlignment="1"/>
    <xf numFmtId="0" fontId="11" fillId="0" borderId="1" xfId="0" applyFont="1" applyFill="1" applyBorder="1" applyAlignment="1">
      <alignment horizontal="left"/>
    </xf>
    <xf numFmtId="14" fontId="1" fillId="6" borderId="1" xfId="0" applyNumberFormat="1" applyFont="1" applyFill="1" applyBorder="1" applyAlignment="1">
      <alignment horizontal="center"/>
    </xf>
    <xf numFmtId="0" fontId="13" fillId="9" borderId="4" xfId="0" applyFont="1" applyFill="1" applyBorder="1" applyAlignment="1">
      <alignment horizontal="left" vertical="top" wrapText="1"/>
    </xf>
    <xf numFmtId="0" fontId="13" fillId="9" borderId="2" xfId="0" applyFont="1" applyFill="1" applyBorder="1" applyAlignment="1">
      <alignment horizontal="left" vertical="top" wrapText="1"/>
    </xf>
    <xf numFmtId="0" fontId="0" fillId="0" borderId="4" xfId="0" applyBorder="1" applyAlignment="1">
      <alignment vertical="center"/>
    </xf>
    <xf numFmtId="0" fontId="0" fillId="0" borderId="2" xfId="0" applyBorder="1" applyAlignment="1">
      <alignment vertical="center"/>
    </xf>
    <xf numFmtId="0" fontId="1" fillId="5" borderId="1" xfId="0" applyFont="1" applyFill="1" applyBorder="1" applyAlignment="1">
      <alignment horizontal="left" vertical="top"/>
    </xf>
    <xf numFmtId="0" fontId="13" fillId="3" borderId="4" xfId="0" applyFont="1" applyFill="1" applyBorder="1" applyAlignment="1">
      <alignment vertical="top" wrapText="1"/>
    </xf>
    <xf numFmtId="0" fontId="13" fillId="3" borderId="2" xfId="0" applyFont="1" applyFill="1" applyBorder="1" applyAlignment="1">
      <alignment vertical="top" wrapText="1"/>
    </xf>
    <xf numFmtId="0" fontId="13" fillId="9" borderId="4" xfId="0" applyFont="1" applyFill="1" applyBorder="1" applyAlignment="1">
      <alignment horizontal="left" vertical="top"/>
    </xf>
    <xf numFmtId="0" fontId="13" fillId="9" borderId="2" xfId="0" applyFont="1" applyFill="1" applyBorder="1" applyAlignment="1">
      <alignment horizontal="left" vertical="top"/>
    </xf>
    <xf numFmtId="0" fontId="13" fillId="9" borderId="4" xfId="0" applyFont="1" applyFill="1" applyBorder="1" applyAlignment="1">
      <alignment vertical="top" wrapText="1"/>
    </xf>
    <xf numFmtId="0" fontId="13" fillId="9" borderId="2" xfId="0" applyFont="1" applyFill="1" applyBorder="1" applyAlignment="1">
      <alignment vertical="top" wrapText="1"/>
    </xf>
    <xf numFmtId="0" fontId="13" fillId="9" borderId="4" xfId="0" applyFont="1" applyFill="1" applyBorder="1" applyAlignment="1">
      <alignment vertical="center" wrapText="1"/>
    </xf>
    <xf numFmtId="0" fontId="13" fillId="9" borderId="2" xfId="0" applyFont="1" applyFill="1" applyBorder="1" applyAlignment="1">
      <alignment vertical="center" wrapText="1"/>
    </xf>
    <xf numFmtId="0" fontId="1" fillId="9" borderId="4" xfId="0" applyFont="1" applyFill="1" applyBorder="1" applyAlignment="1">
      <alignment vertical="center" wrapText="1"/>
    </xf>
    <xf numFmtId="0" fontId="1" fillId="9" borderId="2" xfId="0" applyFont="1" applyFill="1" applyBorder="1" applyAlignment="1">
      <alignment vertical="center" wrapText="1"/>
    </xf>
    <xf numFmtId="0" fontId="26"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6" fillId="0" borderId="0" xfId="0" applyFont="1" applyBorder="1" applyAlignment="1">
      <alignment horizontal="left" vertical="center" wrapText="1"/>
    </xf>
    <xf numFmtId="0" fontId="0" fillId="6" borderId="4" xfId="0" applyFill="1" applyBorder="1" applyAlignment="1">
      <alignment horizontal="left" vertical="center" wrapText="1"/>
    </xf>
    <xf numFmtId="0" fontId="0" fillId="6" borderId="5" xfId="0" applyFill="1" applyBorder="1" applyAlignment="1">
      <alignment horizontal="left" vertical="center"/>
    </xf>
    <xf numFmtId="0" fontId="0" fillId="6" borderId="2" xfId="0" applyFill="1" applyBorder="1" applyAlignment="1">
      <alignment horizontal="left" vertical="center"/>
    </xf>
    <xf numFmtId="0" fontId="5" fillId="2" borderId="1" xfId="0" applyFont="1" applyFill="1" applyBorder="1" applyAlignment="1">
      <alignment horizontal="center" vertical="center"/>
    </xf>
    <xf numFmtId="0" fontId="2" fillId="6" borderId="4" xfId="0" applyFont="1" applyFill="1" applyBorder="1" applyAlignment="1">
      <alignment horizontal="left" vertical="center" wrapText="1"/>
    </xf>
    <xf numFmtId="0" fontId="2" fillId="6" borderId="5" xfId="0" applyFont="1" applyFill="1" applyBorder="1" applyAlignment="1">
      <alignment horizontal="left" vertical="center" wrapText="1"/>
    </xf>
    <xf numFmtId="0" fontId="2" fillId="6" borderId="2" xfId="0" applyFont="1" applyFill="1" applyBorder="1" applyAlignment="1">
      <alignment horizontal="left" vertical="center" wrapText="1"/>
    </xf>
    <xf numFmtId="0" fontId="22" fillId="0" borderId="0" xfId="0" applyFont="1" applyBorder="1" applyAlignment="1">
      <alignment horizontal="left" vertical="center" wrapText="1"/>
    </xf>
    <xf numFmtId="0" fontId="23" fillId="0" borderId="0" xfId="0" applyFont="1" applyBorder="1" applyAlignment="1">
      <alignment horizontal="left" vertical="center" wrapText="1"/>
    </xf>
    <xf numFmtId="18" fontId="5" fillId="7" borderId="1" xfId="0" applyNumberFormat="1" applyFont="1" applyFill="1" applyBorder="1" applyAlignment="1">
      <alignment horizontal="center" vertical="center" wrapText="1"/>
    </xf>
    <xf numFmtId="1" fontId="5" fillId="6" borderId="1" xfId="0" applyNumberFormat="1"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2" xfId="0" applyFont="1" applyFill="1" applyBorder="1" applyAlignment="1">
      <alignment horizontal="center" vertical="center"/>
    </xf>
    <xf numFmtId="0" fontId="8" fillId="2" borderId="1" xfId="0" applyFont="1" applyFill="1" applyBorder="1" applyAlignment="1">
      <alignment horizontal="left" vertical="center"/>
    </xf>
    <xf numFmtId="0" fontId="8" fillId="2" borderId="7" xfId="0" applyFont="1" applyFill="1" applyBorder="1" applyAlignment="1">
      <alignment horizontal="left" vertical="center"/>
    </xf>
    <xf numFmtId="0" fontId="8" fillId="2" borderId="6" xfId="0" applyFont="1" applyFill="1" applyBorder="1" applyAlignment="1">
      <alignment horizontal="left" vertical="center"/>
    </xf>
    <xf numFmtId="0" fontId="0" fillId="0" borderId="13" xfId="0" applyBorder="1" applyAlignment="1">
      <alignment horizontal="right"/>
    </xf>
    <xf numFmtId="0" fontId="3" fillId="0" borderId="15" xfId="0" applyFont="1" applyBorder="1" applyAlignment="1">
      <alignment horizontal="center" vertical="center" wrapText="1"/>
    </xf>
    <xf numFmtId="0" fontId="41" fillId="6" borderId="0" xfId="0" applyFont="1" applyFill="1" applyBorder="1" applyAlignment="1">
      <alignment horizontal="left" vertical="center" wrapText="1"/>
    </xf>
    <xf numFmtId="0" fontId="1" fillId="0" borderId="0" xfId="0" applyFont="1" applyBorder="1" applyAlignment="1">
      <alignment horizontal="left" vertical="center" wrapText="1"/>
    </xf>
    <xf numFmtId="0" fontId="4" fillId="6" borderId="0" xfId="0" applyFont="1" applyFill="1" applyBorder="1" applyAlignment="1">
      <alignment horizontal="left" vertical="center" wrapText="1"/>
    </xf>
    <xf numFmtId="0" fontId="2" fillId="0" borderId="0" xfId="0" applyFont="1" applyBorder="1" applyAlignment="1">
      <alignment horizontal="left" vertical="center" wrapText="1"/>
    </xf>
    <xf numFmtId="0" fontId="3" fillId="0" borderId="0" xfId="0" applyFont="1" applyBorder="1" applyAlignment="1">
      <alignment horizontal="center" vertical="center" wrapText="1"/>
    </xf>
    <xf numFmtId="0" fontId="9" fillId="6" borderId="1"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5" xfId="0" applyFont="1" applyFill="1" applyBorder="1" applyAlignment="1">
      <alignment horizontal="center" vertical="center"/>
    </xf>
    <xf numFmtId="0" fontId="9" fillId="6" borderId="2" xfId="0" applyFont="1" applyFill="1" applyBorder="1" applyAlignment="1">
      <alignment horizontal="center" vertical="center"/>
    </xf>
    <xf numFmtId="0" fontId="36" fillId="16" borderId="1" xfId="0" applyFont="1" applyFill="1" applyBorder="1" applyAlignment="1">
      <alignment horizontal="center" vertical="top"/>
    </xf>
    <xf numFmtId="0" fontId="34" fillId="10" borderId="0" xfId="0" applyFont="1" applyFill="1" applyBorder="1" applyAlignment="1">
      <alignment horizontal="center" vertical="center"/>
    </xf>
    <xf numFmtId="0" fontId="37" fillId="12" borderId="6" xfId="0" applyFont="1" applyFill="1" applyBorder="1" applyAlignment="1">
      <alignment horizontal="center" vertical="center"/>
    </xf>
    <xf numFmtId="0" fontId="37" fillId="12" borderId="14" xfId="0" applyFont="1" applyFill="1" applyBorder="1" applyAlignment="1">
      <alignment horizontal="center" vertical="center"/>
    </xf>
    <xf numFmtId="0" fontId="36" fillId="13" borderId="7" xfId="0" applyFont="1" applyFill="1" applyBorder="1" applyAlignment="1">
      <alignment horizontal="center" vertical="center" wrapText="1"/>
    </xf>
    <xf numFmtId="0" fontId="36" fillId="13" borderId="6" xfId="0" applyFont="1" applyFill="1" applyBorder="1" applyAlignment="1">
      <alignment horizontal="center" vertical="center" wrapText="1"/>
    </xf>
    <xf numFmtId="0" fontId="36" fillId="13" borderId="14" xfId="0" applyFont="1" applyFill="1" applyBorder="1" applyAlignment="1">
      <alignment horizontal="center" vertical="center" wrapText="1"/>
    </xf>
    <xf numFmtId="0" fontId="36" fillId="14" borderId="7" xfId="0" applyFont="1" applyFill="1" applyBorder="1" applyAlignment="1">
      <alignment horizontal="center" vertical="center"/>
    </xf>
    <xf numFmtId="0" fontId="36" fillId="14" borderId="6" xfId="0" applyFont="1" applyFill="1" applyBorder="1" applyAlignment="1">
      <alignment horizontal="center" vertical="center"/>
    </xf>
    <xf numFmtId="0" fontId="36" fillId="14" borderId="14" xfId="0" applyFont="1" applyFill="1" applyBorder="1" applyAlignment="1">
      <alignment horizontal="center" vertical="center"/>
    </xf>
    <xf numFmtId="0" fontId="36" fillId="15" borderId="7" xfId="0" applyFont="1" applyFill="1" applyBorder="1" applyAlignment="1">
      <alignment horizontal="center" vertical="center"/>
    </xf>
    <xf numFmtId="0" fontId="36" fillId="15" borderId="6" xfId="0" applyFont="1" applyFill="1" applyBorder="1" applyAlignment="1">
      <alignment horizontal="center" vertical="center"/>
    </xf>
    <xf numFmtId="0" fontId="36" fillId="15" borderId="14" xfId="0" applyFont="1" applyFill="1" applyBorder="1" applyAlignment="1">
      <alignment horizontal="center" vertical="center"/>
    </xf>
    <xf numFmtId="0" fontId="36" fillId="16" borderId="7" xfId="0" applyFont="1" applyFill="1" applyBorder="1" applyAlignment="1">
      <alignment horizontal="center" vertical="center"/>
    </xf>
    <xf numFmtId="0" fontId="36" fillId="16" borderId="6" xfId="0" applyFont="1" applyFill="1" applyBorder="1" applyAlignment="1">
      <alignment horizontal="center" vertical="center"/>
    </xf>
    <xf numFmtId="0" fontId="25" fillId="0" borderId="1" xfId="0" applyFont="1" applyBorder="1" applyAlignment="1">
      <alignment horizontal="center" vertical="center"/>
    </xf>
    <xf numFmtId="0" fontId="0" fillId="0" borderId="1" xfId="0" applyBorder="1" applyAlignment="1">
      <alignment horizontal="center" vertical="center"/>
    </xf>
  </cellXfs>
  <cellStyles count="3">
    <cellStyle name="Normal" xfId="0" builtinId="0"/>
    <cellStyle name="Normal 2" xfId="1" xr:uid="{00000000-0005-0000-0000-000001000000}"/>
    <cellStyle name="Normal 2 2" xfId="2" xr:uid="{00000000-0005-0000-0000-000002000000}"/>
  </cellStyles>
  <dxfs count="9">
    <dxf>
      <fill>
        <patternFill patternType="solid">
          <fgColor indexed="64"/>
          <bgColor theme="4" tint="0.79998168889431442"/>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4"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dxf>
    <dxf>
      <border outline="0">
        <bottom style="thin">
          <color indexed="64"/>
        </bottom>
      </border>
    </dxf>
    <dxf>
      <font>
        <b/>
        <i val="0"/>
        <strike val="0"/>
        <condense val="0"/>
        <extend val="0"/>
        <outline val="0"/>
        <shadow val="0"/>
        <u val="none"/>
        <vertAlign val="baseline"/>
        <sz val="10"/>
        <color auto="1"/>
        <name val="Arial Narrow"/>
        <scheme val="none"/>
      </font>
      <fill>
        <patternFill patternType="solid">
          <fgColor indexed="64"/>
          <bgColor indexed="2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color theme="0"/>
      </font>
      <fill>
        <patternFill>
          <bgColor theme="0"/>
        </patternFill>
      </fill>
      <border>
        <left/>
        <right/>
        <top/>
        <bottom/>
        <vertical/>
        <horizontal/>
      </border>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Drop" dropStyle="combo" dx="16" fmlaRange="Tablas!$A$1:$A$13" noThreeD="1" sel="2" val="0"/>
</file>

<file path=xl/ctrlProps/ctrlProp2.xml><?xml version="1.0" encoding="utf-8"?>
<formControlPr xmlns="http://schemas.microsoft.com/office/spreadsheetml/2009/9/main" objectType="Drop" dropStyle="combo" dx="16" fmlaRange="Tablas!$C$1:$C$14" noThreeD="1" sel="10" val="6"/>
</file>

<file path=xl/ctrlProps/ctrlProp3.xml><?xml version="1.0" encoding="utf-8"?>
<formControlPr xmlns="http://schemas.microsoft.com/office/spreadsheetml/2009/9/main" objectType="Drop" dropStyle="combo" dx="20" fmlaRange="Tablas!$D$1:$D$3"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31755</xdr:colOff>
      <xdr:row>0</xdr:row>
      <xdr:rowOff>84668</xdr:rowOff>
    </xdr:from>
    <xdr:to>
      <xdr:col>1</xdr:col>
      <xdr:colOff>1424157</xdr:colOff>
      <xdr:row>0</xdr:row>
      <xdr:rowOff>552450</xdr:rowOff>
    </xdr:to>
    <xdr:pic>
      <xdr:nvPicPr>
        <xdr:cNvPr id="6" name="Imagen 5" descr="C:\Users\apoemape\AppData\Local\Microsoft\Windows\INetCache\Content.MSO\734ADCE7.jp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2755" y="84668"/>
          <a:ext cx="1392402" cy="4677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920750</xdr:colOff>
          <xdr:row>10</xdr:row>
          <xdr:rowOff>101600</xdr:rowOff>
        </xdr:from>
        <xdr:to>
          <xdr:col>2</xdr:col>
          <xdr:colOff>2311400</xdr:colOff>
          <xdr:row>10</xdr:row>
          <xdr:rowOff>419100</xdr:rowOff>
        </xdr:to>
        <xdr:sp macro="" textlink="">
          <xdr:nvSpPr>
            <xdr:cNvPr id="10264" name="Drop Down 24" hidden="1">
              <a:extLst>
                <a:ext uri="{63B3BB69-23CF-44E3-9099-C40C66FF867C}">
                  <a14:compatExt spid="_x0000_s10264"/>
                </a:ext>
                <a:ext uri="{FF2B5EF4-FFF2-40B4-BE49-F238E27FC236}">
                  <a16:creationId xmlns:a16="http://schemas.microsoft.com/office/drawing/2014/main" id="{00000000-0008-0000-0000-00001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30</xdr:row>
          <xdr:rowOff>6350</xdr:rowOff>
        </xdr:from>
        <xdr:to>
          <xdr:col>2</xdr:col>
          <xdr:colOff>3321050</xdr:colOff>
          <xdr:row>31</xdr:row>
          <xdr:rowOff>0</xdr:rowOff>
        </xdr:to>
        <xdr:sp macro="" textlink="">
          <xdr:nvSpPr>
            <xdr:cNvPr id="10266" name="Drop Down 26" hidden="1">
              <a:extLst>
                <a:ext uri="{63B3BB69-23CF-44E3-9099-C40C66FF867C}">
                  <a14:compatExt spid="_x0000_s10266"/>
                </a:ext>
                <a:ext uri="{FF2B5EF4-FFF2-40B4-BE49-F238E27FC236}">
                  <a16:creationId xmlns:a16="http://schemas.microsoft.com/office/drawing/2014/main" id="{00000000-0008-0000-0000-00001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811377</xdr:colOff>
      <xdr:row>0</xdr:row>
      <xdr:rowOff>467782</xdr:rowOff>
    </xdr:to>
    <xdr:pic>
      <xdr:nvPicPr>
        <xdr:cNvPr id="3" name="Imagen 2" descr="C:\Users\apoemape\AppData\Local\Microsoft\Windows\INetCache\Content.MSO\734ADCE7.jpg">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392402" cy="4677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78442</xdr:rowOff>
    </xdr:from>
    <xdr:to>
      <xdr:col>0</xdr:col>
      <xdr:colOff>1392402</xdr:colOff>
      <xdr:row>0</xdr:row>
      <xdr:rowOff>546224</xdr:rowOff>
    </xdr:to>
    <xdr:pic>
      <xdr:nvPicPr>
        <xdr:cNvPr id="3" name="Imagen 2" descr="C:\Users\apoemape\AppData\Local\Microsoft\Windows\INetCache\Content.MSO\734ADCE7.jpg">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8442"/>
          <a:ext cx="1392402" cy="4677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1415262</xdr:colOff>
      <xdr:row>3</xdr:row>
      <xdr:rowOff>162982</xdr:rowOff>
    </xdr:to>
    <xdr:pic>
      <xdr:nvPicPr>
        <xdr:cNvPr id="2" name="Imagen 1" descr="C:\Users\apoemape\AppData\Local\Microsoft\Windows\INetCache\Content.MSO\734ADCE7.jpg">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90500"/>
          <a:ext cx="1415262" cy="4677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1097127</xdr:colOff>
      <xdr:row>0</xdr:row>
      <xdr:rowOff>467782</xdr:rowOff>
    </xdr:to>
    <xdr:pic>
      <xdr:nvPicPr>
        <xdr:cNvPr id="3" name="Imagen 2" descr="C:\Users\apoemape\AppData\Local\Microsoft\Windows\INetCache\Content.MSO\734ADCE7.jpg">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392402" cy="4677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908050</xdr:colOff>
          <xdr:row>1</xdr:row>
          <xdr:rowOff>101600</xdr:rowOff>
        </xdr:from>
        <xdr:to>
          <xdr:col>7</xdr:col>
          <xdr:colOff>0</xdr:colOff>
          <xdr:row>1</xdr:row>
          <xdr:rowOff>349250</xdr:rowOff>
        </xdr:to>
        <xdr:sp macro="" textlink="">
          <xdr:nvSpPr>
            <xdr:cNvPr id="17414" name="Drop Down 6" hidden="1">
              <a:extLst>
                <a:ext uri="{63B3BB69-23CF-44E3-9099-C40C66FF867C}">
                  <a14:compatExt spid="_x0000_s17414"/>
                </a:ext>
                <a:ext uri="{FF2B5EF4-FFF2-40B4-BE49-F238E27FC236}">
                  <a16:creationId xmlns:a16="http://schemas.microsoft.com/office/drawing/2014/main" id="{00000000-0008-0000-06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1</xdr:col>
      <xdr:colOff>720007</xdr:colOff>
      <xdr:row>0</xdr:row>
      <xdr:rowOff>794807</xdr:rowOff>
    </xdr:to>
    <xdr:pic>
      <xdr:nvPicPr>
        <xdr:cNvPr id="2" name="Imagen 1" descr="C:\Users\apoemape\AppData\Local\Microsoft\Windows\INetCache\Content.MSO\734ADCE7.jpg">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725"/>
          <a:ext cx="2110657" cy="7090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biffilex64\Sistemas_Distribuidos\Documents%20and%20Settings\s8461\Escritorio\Copia%20de%20Hoja%20Instrucciones%20Pase%20A%20PRD%20v2.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151rp2/Users/s21022/AppData/Local/Microsoft/Windows/Temporary%20Internet%20Files/Content.Outlook/YEB0CQO7/Matriz%20Cambios%20v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ros"/>
      <sheetName val="Información"/>
      <sheetName val="Instrucciones"/>
      <sheetName val="Expedientes"/>
      <sheetName val="Panagon"/>
      <sheetName val="Puntos Reinicio"/>
      <sheetName val="Control-M"/>
      <sheetName val="AFT"/>
      <sheetName val="Verificación-Post pase"/>
      <sheetName val="Rollback"/>
      <sheetName val="Usuario Privilegiados"/>
      <sheetName val="Documentación"/>
      <sheetName val="Leyenda"/>
    </sheetNames>
    <sheetDataSet>
      <sheetData sheetId="0" refreshError="1">
        <row r="2">
          <cell r="A2" t="str">
            <v>EmergenciaAltaAltoNo1.</v>
          </cell>
          <cell r="B2" t="str">
            <v>Emergencia</v>
          </cell>
          <cell r="C2" t="str">
            <v>Alta</v>
          </cell>
          <cell r="D2" t="str">
            <v>Alto</v>
          </cell>
          <cell r="E2" t="str">
            <v>No</v>
          </cell>
          <cell r="F2" t="str">
            <v xml:space="preserve">1.     Documentación requerida estándar </v>
          </cell>
          <cell r="G2" t="str">
            <v>No requiere</v>
          </cell>
        </row>
        <row r="3">
          <cell r="A3" t="str">
            <v>EmergenciaAltaAltoNo10</v>
          </cell>
          <cell r="B3" t="str">
            <v>Emergencia</v>
          </cell>
          <cell r="C3" t="str">
            <v>Alta</v>
          </cell>
          <cell r="D3" t="str">
            <v>Alto</v>
          </cell>
          <cell r="E3" t="str">
            <v>No</v>
          </cell>
          <cell r="F3" t="str">
            <v xml:space="preserve">10.     Ofrecer Soporte remoto </v>
          </cell>
          <cell r="G3" t="str">
            <v>No requiere</v>
          </cell>
        </row>
        <row r="4">
          <cell r="A4" t="str">
            <v>EmergenciaAltaAltoNo11</v>
          </cell>
          <cell r="B4" t="str">
            <v>Emergencia</v>
          </cell>
          <cell r="C4" t="str">
            <v>Alta</v>
          </cell>
          <cell r="D4" t="str">
            <v>Alto</v>
          </cell>
          <cell r="E4" t="str">
            <v>No</v>
          </cell>
          <cell r="F4" t="str">
            <v>11.     Ofrecer Soporte de vida temprana (ELS)</v>
          </cell>
          <cell r="G4" t="str">
            <v>Requiere</v>
          </cell>
        </row>
        <row r="5">
          <cell r="A5" t="str">
            <v>EmergenciaAltaAltoNo12</v>
          </cell>
          <cell r="B5" t="str">
            <v>Emergencia</v>
          </cell>
          <cell r="C5" t="str">
            <v>Alta</v>
          </cell>
          <cell r="D5" t="str">
            <v>Alto</v>
          </cell>
          <cell r="E5" t="str">
            <v>No</v>
          </cell>
          <cell r="F5" t="str">
            <v xml:space="preserve">12.     Realizar validación y confirmación funcional </v>
          </cell>
          <cell r="G5" t="str">
            <v>Requiere</v>
          </cell>
        </row>
        <row r="6">
          <cell r="A6" t="str">
            <v>EmergenciaAltaAltoNo13</v>
          </cell>
          <cell r="B6" t="str">
            <v>Emergencia</v>
          </cell>
          <cell r="C6" t="str">
            <v>Alta</v>
          </cell>
          <cell r="D6" t="str">
            <v>Alto</v>
          </cell>
          <cell r="E6" t="str">
            <v>No</v>
          </cell>
          <cell r="F6" t="str">
            <v>13.   Realizar validación y confirmación técnica</v>
          </cell>
          <cell r="G6" t="str">
            <v>Requiere</v>
          </cell>
        </row>
        <row r="7">
          <cell r="A7" t="str">
            <v>EmergenciaAltaAltoNo14</v>
          </cell>
          <cell r="B7" t="str">
            <v>Emergencia</v>
          </cell>
          <cell r="C7" t="str">
            <v>Alta</v>
          </cell>
          <cell r="D7" t="str">
            <v>Alto</v>
          </cell>
          <cell r="E7" t="str">
            <v>No</v>
          </cell>
          <cell r="F7" t="str">
            <v>14.   Validación de Performance pre y post cambio</v>
          </cell>
          <cell r="G7" t="str">
            <v>No requiere</v>
          </cell>
        </row>
        <row r="8">
          <cell r="A8" t="str">
            <v>EmergenciaAltaAltoNo2.</v>
          </cell>
          <cell r="B8" t="str">
            <v>Emergencia</v>
          </cell>
          <cell r="C8" t="str">
            <v>Alta</v>
          </cell>
          <cell r="D8" t="str">
            <v>Alto</v>
          </cell>
          <cell r="E8" t="str">
            <v>No</v>
          </cell>
          <cell r="F8" t="str">
            <v>2.     Checklist Certificado</v>
          </cell>
          <cell r="G8" t="str">
            <v>No requiere</v>
          </cell>
        </row>
        <row r="9">
          <cell r="A9" t="str">
            <v>EmergenciaAltaAltoNo3.</v>
          </cell>
          <cell r="B9" t="str">
            <v>Emergencia</v>
          </cell>
          <cell r="C9" t="str">
            <v>Alta</v>
          </cell>
          <cell r="D9" t="str">
            <v>Alto</v>
          </cell>
          <cell r="E9" t="str">
            <v>No</v>
          </cell>
          <cell r="F9" t="str">
            <v>3.     Rollback Certificado en ambiente previo</v>
          </cell>
          <cell r="G9" t="str">
            <v>No requiere</v>
          </cell>
        </row>
        <row r="10">
          <cell r="A10" t="str">
            <v>EmergenciaAltaAltoNo4.</v>
          </cell>
          <cell r="B10" t="str">
            <v>Emergencia</v>
          </cell>
          <cell r="C10" t="str">
            <v>Alta</v>
          </cell>
          <cell r="D10" t="str">
            <v>Alto</v>
          </cell>
          <cell r="E10" t="str">
            <v>No</v>
          </cell>
          <cell r="F10" t="str">
            <v xml:space="preserve">4.     Confirmación de ejecución/funcionamiento correcto en Ambiente Previo </v>
          </cell>
          <cell r="G10" t="str">
            <v>No requiere</v>
          </cell>
        </row>
        <row r="11">
          <cell r="A11" t="str">
            <v>EmergenciaAltaAltoNo6.</v>
          </cell>
          <cell r="B11" t="str">
            <v>Emergencia</v>
          </cell>
          <cell r="C11" t="str">
            <v>Alta</v>
          </cell>
          <cell r="D11" t="str">
            <v>Alto</v>
          </cell>
          <cell r="E11" t="str">
            <v>No</v>
          </cell>
          <cell r="F11" t="str">
            <v>6.   Evaluación de Riesgos TI</v>
          </cell>
          <cell r="G11" t="str">
            <v>Requiere</v>
          </cell>
        </row>
        <row r="12">
          <cell r="A12" t="str">
            <v>EmergenciaAltaAltoNo7.</v>
          </cell>
          <cell r="B12" t="str">
            <v>Emergencia</v>
          </cell>
          <cell r="C12" t="str">
            <v>Alta</v>
          </cell>
          <cell r="D12" t="str">
            <v>Alto</v>
          </cell>
          <cell r="E12" t="str">
            <v>No</v>
          </cell>
          <cell r="F12" t="str">
            <v>7.     Análisis de reportes financieros</v>
          </cell>
          <cell r="G12" t="str">
            <v>Requiere</v>
          </cell>
        </row>
        <row r="13">
          <cell r="A13" t="str">
            <v>EmergenciaAltaAltoNo8.</v>
          </cell>
          <cell r="B13" t="str">
            <v>Emergencia</v>
          </cell>
          <cell r="C13" t="str">
            <v>Alta</v>
          </cell>
          <cell r="D13" t="str">
            <v>Alto</v>
          </cell>
          <cell r="E13" t="str">
            <v>No</v>
          </cell>
          <cell r="F13" t="str">
            <v>8.     Garantizar soporte Estándar</v>
          </cell>
          <cell r="G13" t="str">
            <v>Requiere</v>
          </cell>
        </row>
        <row r="14">
          <cell r="A14" t="str">
            <v>EmergenciaAltaAltoNo9.</v>
          </cell>
          <cell r="B14" t="str">
            <v>Emergencia</v>
          </cell>
          <cell r="C14" t="str">
            <v>Alta</v>
          </cell>
          <cell r="D14" t="str">
            <v>Alto</v>
          </cell>
          <cell r="E14" t="str">
            <v>No</v>
          </cell>
          <cell r="F14" t="str">
            <v xml:space="preserve">9.     Ofrecer Soporte físico </v>
          </cell>
          <cell r="G14" t="str">
            <v>Requiere</v>
          </cell>
        </row>
        <row r="15">
          <cell r="A15" t="str">
            <v>EmergenciaAltaAltoSi1.</v>
          </cell>
          <cell r="B15" t="str">
            <v>Emergencia</v>
          </cell>
          <cell r="C15" t="str">
            <v>Alta</v>
          </cell>
          <cell r="D15" t="str">
            <v>Alto</v>
          </cell>
          <cell r="E15" t="str">
            <v>Si</v>
          </cell>
          <cell r="F15" t="str">
            <v xml:space="preserve">1.     Documentación requerida estándar </v>
          </cell>
          <cell r="G15" t="str">
            <v>No requiere</v>
          </cell>
        </row>
        <row r="16">
          <cell r="A16" t="str">
            <v>EmergenciaAltaAltoSi10</v>
          </cell>
          <cell r="B16" t="str">
            <v>Emergencia</v>
          </cell>
          <cell r="C16" t="str">
            <v>Alta</v>
          </cell>
          <cell r="D16" t="str">
            <v>Alto</v>
          </cell>
          <cell r="E16" t="str">
            <v>Si</v>
          </cell>
          <cell r="F16" t="str">
            <v xml:space="preserve">10.     Ofrecer Soporte remoto </v>
          </cell>
          <cell r="G16" t="str">
            <v>No requiere</v>
          </cell>
        </row>
        <row r="17">
          <cell r="A17" t="str">
            <v>EmergenciaAltaAltoSi11</v>
          </cell>
          <cell r="B17" t="str">
            <v>Emergencia</v>
          </cell>
          <cell r="C17" t="str">
            <v>Alta</v>
          </cell>
          <cell r="D17" t="str">
            <v>Alto</v>
          </cell>
          <cell r="E17" t="str">
            <v>Si</v>
          </cell>
          <cell r="F17" t="str">
            <v>11.     Ofrecer Soporte de vida temprana (ELS)</v>
          </cell>
          <cell r="G17" t="str">
            <v>Requiere</v>
          </cell>
        </row>
        <row r="18">
          <cell r="A18" t="str">
            <v>EmergenciaAltaAltoSi12</v>
          </cell>
          <cell r="B18" t="str">
            <v>Emergencia</v>
          </cell>
          <cell r="C18" t="str">
            <v>Alta</v>
          </cell>
          <cell r="D18" t="str">
            <v>Alto</v>
          </cell>
          <cell r="E18" t="str">
            <v>Si</v>
          </cell>
          <cell r="F18" t="str">
            <v xml:space="preserve">12.     Realizar validación y confirmación funcional </v>
          </cell>
          <cell r="G18" t="str">
            <v>Requiere</v>
          </cell>
        </row>
        <row r="19">
          <cell r="A19" t="str">
            <v>EmergenciaAltaAltoSi13</v>
          </cell>
          <cell r="B19" t="str">
            <v>Emergencia</v>
          </cell>
          <cell r="C19" t="str">
            <v>Alta</v>
          </cell>
          <cell r="D19" t="str">
            <v>Alto</v>
          </cell>
          <cell r="E19" t="str">
            <v>Si</v>
          </cell>
          <cell r="F19" t="str">
            <v>13.   Realizar validación y confirmación técnica</v>
          </cell>
          <cell r="G19" t="str">
            <v>Requiere</v>
          </cell>
        </row>
        <row r="20">
          <cell r="A20" t="str">
            <v>EmergenciaAltaAltoSi14</v>
          </cell>
          <cell r="B20" t="str">
            <v>Emergencia</v>
          </cell>
          <cell r="C20" t="str">
            <v>Alta</v>
          </cell>
          <cell r="D20" t="str">
            <v>Alto</v>
          </cell>
          <cell r="E20" t="str">
            <v>Si</v>
          </cell>
          <cell r="F20" t="str">
            <v>14.   Validación de Performance pre y post cambio</v>
          </cell>
          <cell r="G20" t="str">
            <v>No requiere</v>
          </cell>
        </row>
        <row r="21">
          <cell r="A21" t="str">
            <v>EmergenciaAltaAltoSi2.</v>
          </cell>
          <cell r="B21" t="str">
            <v>Emergencia</v>
          </cell>
          <cell r="C21" t="str">
            <v>Alta</v>
          </cell>
          <cell r="D21" t="str">
            <v>Alto</v>
          </cell>
          <cell r="E21" t="str">
            <v>Si</v>
          </cell>
          <cell r="F21" t="str">
            <v>2.     Checklist Certificado</v>
          </cell>
          <cell r="G21" t="str">
            <v>No requiere</v>
          </cell>
        </row>
        <row r="22">
          <cell r="A22" t="str">
            <v>EmergenciaAltaAltoSi3.</v>
          </cell>
          <cell r="B22" t="str">
            <v>Emergencia</v>
          </cell>
          <cell r="C22" t="str">
            <v>Alta</v>
          </cell>
          <cell r="D22" t="str">
            <v>Alto</v>
          </cell>
          <cell r="E22" t="str">
            <v>Si</v>
          </cell>
          <cell r="F22" t="str">
            <v>3.     Rollback Certificado en ambiente previo</v>
          </cell>
          <cell r="G22" t="str">
            <v>No requiere</v>
          </cell>
        </row>
        <row r="23">
          <cell r="A23" t="str">
            <v>EmergenciaAltaAltoSi4.</v>
          </cell>
          <cell r="B23" t="str">
            <v>Emergencia</v>
          </cell>
          <cell r="C23" t="str">
            <v>Alta</v>
          </cell>
          <cell r="D23" t="str">
            <v>Alto</v>
          </cell>
          <cell r="E23" t="str">
            <v>Si</v>
          </cell>
          <cell r="F23" t="str">
            <v xml:space="preserve">4.     Confirmación de ejecución/funcionamiento correcto en Ambiente Previo </v>
          </cell>
          <cell r="G23" t="str">
            <v>Requiere</v>
          </cell>
        </row>
        <row r="24">
          <cell r="A24" t="str">
            <v>EmergenciaAltaAltoSi6.</v>
          </cell>
          <cell r="B24" t="str">
            <v>Emergencia</v>
          </cell>
          <cell r="C24" t="str">
            <v>Alta</v>
          </cell>
          <cell r="D24" t="str">
            <v>Alto</v>
          </cell>
          <cell r="E24" t="str">
            <v>Si</v>
          </cell>
          <cell r="F24" t="str">
            <v>6.   Evaluación de Riesgos TI</v>
          </cell>
          <cell r="G24" t="str">
            <v>Requiere</v>
          </cell>
        </row>
        <row r="25">
          <cell r="A25" t="str">
            <v>EmergenciaAltaAltoSi7.</v>
          </cell>
          <cell r="B25" t="str">
            <v>Emergencia</v>
          </cell>
          <cell r="C25" t="str">
            <v>Alta</v>
          </cell>
          <cell r="D25" t="str">
            <v>Alto</v>
          </cell>
          <cell r="E25" t="str">
            <v>Si</v>
          </cell>
          <cell r="F25" t="str">
            <v>7.     Análisis de reportes financieros</v>
          </cell>
          <cell r="G25" t="str">
            <v>Requiere</v>
          </cell>
        </row>
        <row r="26">
          <cell r="A26" t="str">
            <v>EmergenciaAltaAltoSi8.</v>
          </cell>
          <cell r="B26" t="str">
            <v>Emergencia</v>
          </cell>
          <cell r="C26" t="str">
            <v>Alta</v>
          </cell>
          <cell r="D26" t="str">
            <v>Alto</v>
          </cell>
          <cell r="E26" t="str">
            <v>Si</v>
          </cell>
          <cell r="F26" t="str">
            <v>8.     Garantizar soporte Estándar</v>
          </cell>
          <cell r="G26" t="str">
            <v>Requiere</v>
          </cell>
        </row>
        <row r="27">
          <cell r="A27" t="str">
            <v>EmergenciaAltaAltoSi9.</v>
          </cell>
          <cell r="B27" t="str">
            <v>Emergencia</v>
          </cell>
          <cell r="C27" t="str">
            <v>Alta</v>
          </cell>
          <cell r="D27" t="str">
            <v>Alto</v>
          </cell>
          <cell r="E27" t="str">
            <v>Si</v>
          </cell>
          <cell r="F27" t="str">
            <v xml:space="preserve">9.     Ofrecer Soporte físico </v>
          </cell>
          <cell r="G27" t="str">
            <v>Requiere</v>
          </cell>
        </row>
        <row r="28">
          <cell r="A28" t="str">
            <v>EmergenciaAltaBajoNo1.</v>
          </cell>
          <cell r="B28" t="str">
            <v>Emergencia</v>
          </cell>
          <cell r="C28" t="str">
            <v>Alta</v>
          </cell>
          <cell r="D28" t="str">
            <v>Bajo</v>
          </cell>
          <cell r="E28" t="str">
            <v>No</v>
          </cell>
          <cell r="F28" t="str">
            <v xml:space="preserve">1.     Documentación requerida estándar </v>
          </cell>
          <cell r="G28" t="str">
            <v>No requiere</v>
          </cell>
        </row>
        <row r="29">
          <cell r="A29" t="str">
            <v>EmergenciaAltaBajoNo10</v>
          </cell>
          <cell r="B29" t="str">
            <v>Emergencia</v>
          </cell>
          <cell r="C29" t="str">
            <v>Alta</v>
          </cell>
          <cell r="D29" t="str">
            <v>Bajo</v>
          </cell>
          <cell r="E29" t="str">
            <v>No</v>
          </cell>
          <cell r="F29" t="str">
            <v xml:space="preserve">10.     Ofrecer Soporte remoto </v>
          </cell>
          <cell r="G29" t="str">
            <v>No requiere</v>
          </cell>
        </row>
        <row r="30">
          <cell r="A30" t="str">
            <v>EmergenciaAltaBajoNo11</v>
          </cell>
          <cell r="B30" t="str">
            <v>Emergencia</v>
          </cell>
          <cell r="C30" t="str">
            <v>Alta</v>
          </cell>
          <cell r="D30" t="str">
            <v>Bajo</v>
          </cell>
          <cell r="E30" t="str">
            <v>No</v>
          </cell>
          <cell r="F30" t="str">
            <v>11.     Ofrecer Soporte de vida temprana (ELS)</v>
          </cell>
          <cell r="G30" t="str">
            <v>No requiere</v>
          </cell>
        </row>
        <row r="31">
          <cell r="A31" t="str">
            <v>EmergenciaAltaBajoNo12</v>
          </cell>
          <cell r="B31" t="str">
            <v>Emergencia</v>
          </cell>
          <cell r="C31" t="str">
            <v>Alta</v>
          </cell>
          <cell r="D31" t="str">
            <v>Bajo</v>
          </cell>
          <cell r="E31" t="str">
            <v>No</v>
          </cell>
          <cell r="F31" t="str">
            <v xml:space="preserve">12.     Realizar validación y confirmación funcional </v>
          </cell>
          <cell r="G31" t="str">
            <v>Requiere</v>
          </cell>
        </row>
        <row r="32">
          <cell r="A32" t="str">
            <v>EmergenciaAltaBajoNo13</v>
          </cell>
          <cell r="B32" t="str">
            <v>Emergencia</v>
          </cell>
          <cell r="C32" t="str">
            <v>Alta</v>
          </cell>
          <cell r="D32" t="str">
            <v>Bajo</v>
          </cell>
          <cell r="E32" t="str">
            <v>No</v>
          </cell>
          <cell r="F32" t="str">
            <v>13.   Realizar validación y confirmación técnica</v>
          </cell>
          <cell r="G32" t="str">
            <v>Requiere</v>
          </cell>
        </row>
        <row r="33">
          <cell r="A33" t="str">
            <v>EmergenciaAltaBajoNo14</v>
          </cell>
          <cell r="B33" t="str">
            <v>Emergencia</v>
          </cell>
          <cell r="C33" t="str">
            <v>Alta</v>
          </cell>
          <cell r="D33" t="str">
            <v>Bajo</v>
          </cell>
          <cell r="E33" t="str">
            <v>No</v>
          </cell>
          <cell r="F33" t="str">
            <v>14.   Validación de Performance pre y post cambio</v>
          </cell>
          <cell r="G33" t="str">
            <v>No requiere</v>
          </cell>
        </row>
        <row r="34">
          <cell r="A34" t="str">
            <v>EmergenciaAltaBajoNo2.</v>
          </cell>
          <cell r="B34" t="str">
            <v>Emergencia</v>
          </cell>
          <cell r="C34" t="str">
            <v>Alta</v>
          </cell>
          <cell r="D34" t="str">
            <v>Bajo</v>
          </cell>
          <cell r="E34" t="str">
            <v>No</v>
          </cell>
          <cell r="F34" t="str">
            <v>2.     Checklist Certificado</v>
          </cell>
          <cell r="G34" t="str">
            <v>No requiere</v>
          </cell>
        </row>
        <row r="35">
          <cell r="A35" t="str">
            <v>EmergenciaAltaBajoNo3.</v>
          </cell>
          <cell r="B35" t="str">
            <v>Emergencia</v>
          </cell>
          <cell r="C35" t="str">
            <v>Alta</v>
          </cell>
          <cell r="D35" t="str">
            <v>Bajo</v>
          </cell>
          <cell r="E35" t="str">
            <v>No</v>
          </cell>
          <cell r="F35" t="str">
            <v>3.     Rollback Certificado en ambiente previo</v>
          </cell>
          <cell r="G35" t="str">
            <v>No requiere</v>
          </cell>
        </row>
        <row r="36">
          <cell r="A36" t="str">
            <v>EmergenciaAltaBajoNo4.</v>
          </cell>
          <cell r="B36" t="str">
            <v>Emergencia</v>
          </cell>
          <cell r="C36" t="str">
            <v>Alta</v>
          </cell>
          <cell r="D36" t="str">
            <v>Bajo</v>
          </cell>
          <cell r="E36" t="str">
            <v>No</v>
          </cell>
          <cell r="F36" t="str">
            <v xml:space="preserve">4.     Confirmación de ejecución/funcionamiento correcto en Ambiente Previo </v>
          </cell>
          <cell r="G36" t="str">
            <v>No requiere</v>
          </cell>
        </row>
        <row r="37">
          <cell r="A37" t="str">
            <v>EmergenciaAltaBajoNo6.</v>
          </cell>
          <cell r="B37" t="str">
            <v>Emergencia</v>
          </cell>
          <cell r="C37" t="str">
            <v>Alta</v>
          </cell>
          <cell r="D37" t="str">
            <v>Bajo</v>
          </cell>
          <cell r="E37" t="str">
            <v>No</v>
          </cell>
          <cell r="F37" t="str">
            <v>6.   Evaluación de Riesgos TI</v>
          </cell>
          <cell r="G37" t="str">
            <v>No requiere</v>
          </cell>
        </row>
        <row r="38">
          <cell r="A38" t="str">
            <v>EmergenciaAltaBajoNo7.</v>
          </cell>
          <cell r="B38" t="str">
            <v>Emergencia</v>
          </cell>
          <cell r="C38" t="str">
            <v>Alta</v>
          </cell>
          <cell r="D38" t="str">
            <v>Bajo</v>
          </cell>
          <cell r="E38" t="str">
            <v>No</v>
          </cell>
          <cell r="F38" t="str">
            <v>7.     Análisis de reportes financieros</v>
          </cell>
          <cell r="G38" t="str">
            <v>No requiere</v>
          </cell>
        </row>
        <row r="39">
          <cell r="A39" t="str">
            <v>EmergenciaAltaBajoNo8.</v>
          </cell>
          <cell r="B39" t="str">
            <v>Emergencia</v>
          </cell>
          <cell r="C39" t="str">
            <v>Alta</v>
          </cell>
          <cell r="D39" t="str">
            <v>Bajo</v>
          </cell>
          <cell r="E39" t="str">
            <v>No</v>
          </cell>
          <cell r="F39" t="str">
            <v>8.     Garantizar soporte Estándar</v>
          </cell>
          <cell r="G39" t="str">
            <v>Requiere</v>
          </cell>
        </row>
        <row r="40">
          <cell r="A40" t="str">
            <v>EmergenciaAltaBajoNo9.</v>
          </cell>
          <cell r="B40" t="str">
            <v>Emergencia</v>
          </cell>
          <cell r="C40" t="str">
            <v>Alta</v>
          </cell>
          <cell r="D40" t="str">
            <v>Bajo</v>
          </cell>
          <cell r="E40" t="str">
            <v>No</v>
          </cell>
          <cell r="F40" t="str">
            <v xml:space="preserve">9.     Ofrecer Soporte físico </v>
          </cell>
          <cell r="G40" t="str">
            <v>Requiere</v>
          </cell>
        </row>
        <row r="41">
          <cell r="A41" t="str">
            <v>EmergenciaAltaBajoSi1.</v>
          </cell>
          <cell r="B41" t="str">
            <v>Emergencia</v>
          </cell>
          <cell r="C41" t="str">
            <v>Alta</v>
          </cell>
          <cell r="D41" t="str">
            <v>Bajo</v>
          </cell>
          <cell r="E41" t="str">
            <v>Si</v>
          </cell>
          <cell r="F41" t="str">
            <v xml:space="preserve">1.     Documentación requerida estándar </v>
          </cell>
          <cell r="G41" t="str">
            <v>No requiere</v>
          </cell>
        </row>
        <row r="42">
          <cell r="A42" t="str">
            <v>EmergenciaAltaBajoSi10</v>
          </cell>
          <cell r="B42" t="str">
            <v>Emergencia</v>
          </cell>
          <cell r="C42" t="str">
            <v>Alta</v>
          </cell>
          <cell r="D42" t="str">
            <v>Bajo</v>
          </cell>
          <cell r="E42" t="str">
            <v>Si</v>
          </cell>
          <cell r="F42" t="str">
            <v xml:space="preserve">10.     Ofrecer Soporte remoto </v>
          </cell>
          <cell r="G42" t="str">
            <v>No requiere</v>
          </cell>
        </row>
        <row r="43">
          <cell r="A43" t="str">
            <v>EmergenciaAltaBajoSi11</v>
          </cell>
          <cell r="B43" t="str">
            <v>Emergencia</v>
          </cell>
          <cell r="C43" t="str">
            <v>Alta</v>
          </cell>
          <cell r="D43" t="str">
            <v>Bajo</v>
          </cell>
          <cell r="E43" t="str">
            <v>Si</v>
          </cell>
          <cell r="F43" t="str">
            <v>11.     Ofrecer Soporte de vida temprana (ELS)</v>
          </cell>
          <cell r="G43" t="str">
            <v>No requiere</v>
          </cell>
        </row>
        <row r="44">
          <cell r="A44" t="str">
            <v>EmergenciaAltaBajoSi12</v>
          </cell>
          <cell r="B44" t="str">
            <v>Emergencia</v>
          </cell>
          <cell r="C44" t="str">
            <v>Alta</v>
          </cell>
          <cell r="D44" t="str">
            <v>Bajo</v>
          </cell>
          <cell r="E44" t="str">
            <v>Si</v>
          </cell>
          <cell r="F44" t="str">
            <v xml:space="preserve">12.     Realizar validación y confirmación funcional </v>
          </cell>
          <cell r="G44" t="str">
            <v>Requiere</v>
          </cell>
        </row>
        <row r="45">
          <cell r="A45" t="str">
            <v>EmergenciaAltaBajoSi13</v>
          </cell>
          <cell r="B45" t="str">
            <v>Emergencia</v>
          </cell>
          <cell r="C45" t="str">
            <v>Alta</v>
          </cell>
          <cell r="D45" t="str">
            <v>Bajo</v>
          </cell>
          <cell r="E45" t="str">
            <v>Si</v>
          </cell>
          <cell r="F45" t="str">
            <v>13.   Realizar validación y confirmación técnica</v>
          </cell>
          <cell r="G45" t="str">
            <v>Requiere</v>
          </cell>
        </row>
        <row r="46">
          <cell r="A46" t="str">
            <v>EmergenciaAltaBajoSi14</v>
          </cell>
          <cell r="B46" t="str">
            <v>Emergencia</v>
          </cell>
          <cell r="C46" t="str">
            <v>Alta</v>
          </cell>
          <cell r="D46" t="str">
            <v>Bajo</v>
          </cell>
          <cell r="E46" t="str">
            <v>Si</v>
          </cell>
          <cell r="F46" t="str">
            <v>14.   Validación de Performance pre y post cambio</v>
          </cell>
          <cell r="G46" t="str">
            <v>No requiere</v>
          </cell>
        </row>
        <row r="47">
          <cell r="A47" t="str">
            <v>EmergenciaAltaBajoSi2.</v>
          </cell>
          <cell r="B47" t="str">
            <v>Emergencia</v>
          </cell>
          <cell r="C47" t="str">
            <v>Alta</v>
          </cell>
          <cell r="D47" t="str">
            <v>Bajo</v>
          </cell>
          <cell r="E47" t="str">
            <v>Si</v>
          </cell>
          <cell r="F47" t="str">
            <v>2.     Checklist Certificado</v>
          </cell>
          <cell r="G47" t="str">
            <v>No requiere</v>
          </cell>
        </row>
        <row r="48">
          <cell r="A48" t="str">
            <v>EmergenciaAltaBajoSi3.</v>
          </cell>
          <cell r="B48" t="str">
            <v>Emergencia</v>
          </cell>
          <cell r="C48" t="str">
            <v>Alta</v>
          </cell>
          <cell r="D48" t="str">
            <v>Bajo</v>
          </cell>
          <cell r="E48" t="str">
            <v>Si</v>
          </cell>
          <cell r="F48" t="str">
            <v>3.     Rollback Certificado en ambiente previo</v>
          </cell>
          <cell r="G48" t="str">
            <v>No requiere</v>
          </cell>
        </row>
        <row r="49">
          <cell r="A49" t="str">
            <v>EmergenciaAltaBajoSi4.</v>
          </cell>
          <cell r="B49" t="str">
            <v>Emergencia</v>
          </cell>
          <cell r="C49" t="str">
            <v>Alta</v>
          </cell>
          <cell r="D49" t="str">
            <v>Bajo</v>
          </cell>
          <cell r="E49" t="str">
            <v>Si</v>
          </cell>
          <cell r="F49" t="str">
            <v xml:space="preserve">4.     Confirmación de ejecución/funcionamiento correcto en Ambiente Previo </v>
          </cell>
          <cell r="G49" t="str">
            <v>Requiere</v>
          </cell>
        </row>
        <row r="50">
          <cell r="A50" t="str">
            <v>EmergenciaAltaBajoSi6.</v>
          </cell>
          <cell r="B50" t="str">
            <v>Emergencia</v>
          </cell>
          <cell r="C50" t="str">
            <v>Alta</v>
          </cell>
          <cell r="D50" t="str">
            <v>Bajo</v>
          </cell>
          <cell r="E50" t="str">
            <v>Si</v>
          </cell>
          <cell r="F50" t="str">
            <v>6.   Evaluación de Riesgos TI</v>
          </cell>
          <cell r="G50" t="str">
            <v>No requiere</v>
          </cell>
        </row>
        <row r="51">
          <cell r="A51" t="str">
            <v>EmergenciaAltaBajoSi7.</v>
          </cell>
          <cell r="B51" t="str">
            <v>Emergencia</v>
          </cell>
          <cell r="C51" t="str">
            <v>Alta</v>
          </cell>
          <cell r="D51" t="str">
            <v>Bajo</v>
          </cell>
          <cell r="E51" t="str">
            <v>Si</v>
          </cell>
          <cell r="F51" t="str">
            <v>7.     Análisis de reportes financieros</v>
          </cell>
          <cell r="G51" t="str">
            <v>No requiere</v>
          </cell>
        </row>
        <row r="52">
          <cell r="A52" t="str">
            <v>EmergenciaAltaBajoSi8.</v>
          </cell>
          <cell r="B52" t="str">
            <v>Emergencia</v>
          </cell>
          <cell r="C52" t="str">
            <v>Alta</v>
          </cell>
          <cell r="D52" t="str">
            <v>Bajo</v>
          </cell>
          <cell r="E52" t="str">
            <v>Si</v>
          </cell>
          <cell r="F52" t="str">
            <v>8.     Garantizar soporte Estándar</v>
          </cell>
          <cell r="G52" t="str">
            <v>Requiere</v>
          </cell>
        </row>
        <row r="53">
          <cell r="A53" t="str">
            <v>EmergenciaAltaBajoSi9.</v>
          </cell>
          <cell r="B53" t="str">
            <v>Emergencia</v>
          </cell>
          <cell r="C53" t="str">
            <v>Alta</v>
          </cell>
          <cell r="D53" t="str">
            <v>Bajo</v>
          </cell>
          <cell r="E53" t="str">
            <v>Si</v>
          </cell>
          <cell r="F53" t="str">
            <v xml:space="preserve">9.     Ofrecer Soporte físico </v>
          </cell>
          <cell r="G53" t="str">
            <v>Requiere</v>
          </cell>
        </row>
        <row r="54">
          <cell r="A54" t="str">
            <v>EmergenciaAltaMedioNo1.</v>
          </cell>
          <cell r="B54" t="str">
            <v>Emergencia</v>
          </cell>
          <cell r="C54" t="str">
            <v>Alta</v>
          </cell>
          <cell r="D54" t="str">
            <v>Medio</v>
          </cell>
          <cell r="E54" t="str">
            <v>No</v>
          </cell>
          <cell r="F54" t="str">
            <v xml:space="preserve">1.     Documentación requerida estándar </v>
          </cell>
          <cell r="G54" t="str">
            <v>No requiere</v>
          </cell>
        </row>
        <row r="55">
          <cell r="A55" t="str">
            <v>EmergenciaAltaMedioNo10</v>
          </cell>
          <cell r="B55" t="str">
            <v>Emergencia</v>
          </cell>
          <cell r="C55" t="str">
            <v>Alta</v>
          </cell>
          <cell r="D55" t="str">
            <v>Medio</v>
          </cell>
          <cell r="E55" t="str">
            <v>No</v>
          </cell>
          <cell r="F55" t="str">
            <v xml:space="preserve">10.     Ofrecer Soporte remoto </v>
          </cell>
          <cell r="G55" t="str">
            <v>No requiere</v>
          </cell>
        </row>
        <row r="56">
          <cell r="A56" t="str">
            <v>EmergenciaAltaMedioNo11</v>
          </cell>
          <cell r="B56" t="str">
            <v>Emergencia</v>
          </cell>
          <cell r="C56" t="str">
            <v>Alta</v>
          </cell>
          <cell r="D56" t="str">
            <v>Medio</v>
          </cell>
          <cell r="E56" t="str">
            <v>No</v>
          </cell>
          <cell r="F56" t="str">
            <v>11.     Ofrecer Soporte de vida temprana (ELS)</v>
          </cell>
          <cell r="G56" t="str">
            <v>Requiere</v>
          </cell>
        </row>
        <row r="57">
          <cell r="A57" t="str">
            <v>EmergenciaAltaMedioNo12</v>
          </cell>
          <cell r="B57" t="str">
            <v>Emergencia</v>
          </cell>
          <cell r="C57" t="str">
            <v>Alta</v>
          </cell>
          <cell r="D57" t="str">
            <v>Medio</v>
          </cell>
          <cell r="E57" t="str">
            <v>No</v>
          </cell>
          <cell r="F57" t="str">
            <v xml:space="preserve">12.     Realizar validación y confirmación funcional </v>
          </cell>
          <cell r="G57" t="str">
            <v>Requiere</v>
          </cell>
        </row>
        <row r="58">
          <cell r="A58" t="str">
            <v>EmergenciaAltaMedioNo13</v>
          </cell>
          <cell r="B58" t="str">
            <v>Emergencia</v>
          </cell>
          <cell r="C58" t="str">
            <v>Alta</v>
          </cell>
          <cell r="D58" t="str">
            <v>Medio</v>
          </cell>
          <cell r="E58" t="str">
            <v>No</v>
          </cell>
          <cell r="F58" t="str">
            <v>13.   Realizar validación y confirmación técnica</v>
          </cell>
          <cell r="G58" t="str">
            <v>Requiere</v>
          </cell>
        </row>
        <row r="59">
          <cell r="A59" t="str">
            <v>EmergenciaAltaMedioNo14</v>
          </cell>
          <cell r="B59" t="str">
            <v>Emergencia</v>
          </cell>
          <cell r="C59" t="str">
            <v>Alta</v>
          </cell>
          <cell r="D59" t="str">
            <v>Medio</v>
          </cell>
          <cell r="E59" t="str">
            <v>No</v>
          </cell>
          <cell r="F59" t="str">
            <v>14.   Validación de Performance pre y post cambio</v>
          </cell>
          <cell r="G59" t="str">
            <v>No requiere</v>
          </cell>
        </row>
        <row r="60">
          <cell r="A60" t="str">
            <v>EmergenciaAltaMedioNo2.</v>
          </cell>
          <cell r="B60" t="str">
            <v>Emergencia</v>
          </cell>
          <cell r="C60" t="str">
            <v>Alta</v>
          </cell>
          <cell r="D60" t="str">
            <v>Medio</v>
          </cell>
          <cell r="E60" t="str">
            <v>No</v>
          </cell>
          <cell r="F60" t="str">
            <v>2.     Checklist Certificado</v>
          </cell>
          <cell r="G60" t="str">
            <v>No requiere</v>
          </cell>
        </row>
        <row r="61">
          <cell r="A61" t="str">
            <v>EmergenciaAltaMedioNo3.</v>
          </cell>
          <cell r="B61" t="str">
            <v>Emergencia</v>
          </cell>
          <cell r="C61" t="str">
            <v>Alta</v>
          </cell>
          <cell r="D61" t="str">
            <v>Medio</v>
          </cell>
          <cell r="E61" t="str">
            <v>No</v>
          </cell>
          <cell r="F61" t="str">
            <v>3.     Rollback Certificado en ambiente previo</v>
          </cell>
          <cell r="G61" t="str">
            <v>No requiere</v>
          </cell>
        </row>
        <row r="62">
          <cell r="A62" t="str">
            <v>EmergenciaAltaMedioNo4.</v>
          </cell>
          <cell r="B62" t="str">
            <v>Emergencia</v>
          </cell>
          <cell r="C62" t="str">
            <v>Alta</v>
          </cell>
          <cell r="D62" t="str">
            <v>Medio</v>
          </cell>
          <cell r="E62" t="str">
            <v>No</v>
          </cell>
          <cell r="F62" t="str">
            <v xml:space="preserve">4.     Confirmación de ejecución/funcionamiento correcto en Ambiente Previo </v>
          </cell>
          <cell r="G62" t="str">
            <v>No requiere</v>
          </cell>
        </row>
        <row r="63">
          <cell r="A63" t="str">
            <v>EmergenciaAltaMedioNo6.</v>
          </cell>
          <cell r="B63" t="str">
            <v>Emergencia</v>
          </cell>
          <cell r="C63" t="str">
            <v>Alta</v>
          </cell>
          <cell r="D63" t="str">
            <v>Medio</v>
          </cell>
          <cell r="E63" t="str">
            <v>No</v>
          </cell>
          <cell r="F63" t="str">
            <v>6.   Evaluación de Riesgos TI</v>
          </cell>
          <cell r="G63" t="str">
            <v>Requiere</v>
          </cell>
        </row>
        <row r="64">
          <cell r="A64" t="str">
            <v>EmergenciaAltaMedioNo7.</v>
          </cell>
          <cell r="B64" t="str">
            <v>Emergencia</v>
          </cell>
          <cell r="C64" t="str">
            <v>Alta</v>
          </cell>
          <cell r="D64" t="str">
            <v>Medio</v>
          </cell>
          <cell r="E64" t="str">
            <v>No</v>
          </cell>
          <cell r="F64" t="str">
            <v>7.     Análisis de reportes financieros</v>
          </cell>
          <cell r="G64" t="str">
            <v>No requiere</v>
          </cell>
        </row>
        <row r="65">
          <cell r="A65" t="str">
            <v>EmergenciaAltaMedioNo8.</v>
          </cell>
          <cell r="B65" t="str">
            <v>Emergencia</v>
          </cell>
          <cell r="C65" t="str">
            <v>Alta</v>
          </cell>
          <cell r="D65" t="str">
            <v>Medio</v>
          </cell>
          <cell r="E65" t="str">
            <v>No</v>
          </cell>
          <cell r="F65" t="str">
            <v>8.     Garantizar soporte Estándar</v>
          </cell>
          <cell r="G65" t="str">
            <v>Requiere</v>
          </cell>
        </row>
        <row r="66">
          <cell r="A66" t="str">
            <v>EmergenciaAltaMedioNo9.</v>
          </cell>
          <cell r="B66" t="str">
            <v>Emergencia</v>
          </cell>
          <cell r="C66" t="str">
            <v>Alta</v>
          </cell>
          <cell r="D66" t="str">
            <v>Medio</v>
          </cell>
          <cell r="E66" t="str">
            <v>No</v>
          </cell>
          <cell r="F66" t="str">
            <v xml:space="preserve">9.     Ofrecer Soporte físico </v>
          </cell>
          <cell r="G66" t="str">
            <v>Requiere</v>
          </cell>
        </row>
        <row r="67">
          <cell r="A67" t="str">
            <v>EmergenciaAltaMedioSi1.</v>
          </cell>
          <cell r="B67" t="str">
            <v>Emergencia</v>
          </cell>
          <cell r="C67" t="str">
            <v>Alta</v>
          </cell>
          <cell r="D67" t="str">
            <v>Medio</v>
          </cell>
          <cell r="E67" t="str">
            <v>Si</v>
          </cell>
          <cell r="F67" t="str">
            <v xml:space="preserve">1.     Documentación requerida estándar </v>
          </cell>
          <cell r="G67" t="str">
            <v>No requiere</v>
          </cell>
        </row>
        <row r="68">
          <cell r="A68" t="str">
            <v>EmergenciaAltaMedioSi10</v>
          </cell>
          <cell r="B68" t="str">
            <v>Emergencia</v>
          </cell>
          <cell r="C68" t="str">
            <v>Alta</v>
          </cell>
          <cell r="D68" t="str">
            <v>Medio</v>
          </cell>
          <cell r="E68" t="str">
            <v>Si</v>
          </cell>
          <cell r="F68" t="str">
            <v xml:space="preserve">10.     Ofrecer Soporte remoto </v>
          </cell>
          <cell r="G68" t="str">
            <v>No requiere</v>
          </cell>
        </row>
        <row r="69">
          <cell r="A69" t="str">
            <v>EmergenciaAltaMedioSi11</v>
          </cell>
          <cell r="B69" t="str">
            <v>Emergencia</v>
          </cell>
          <cell r="C69" t="str">
            <v>Alta</v>
          </cell>
          <cell r="D69" t="str">
            <v>Medio</v>
          </cell>
          <cell r="E69" t="str">
            <v>Si</v>
          </cell>
          <cell r="F69" t="str">
            <v>11.     Ofrecer Soporte de vida temprana (ELS)</v>
          </cell>
          <cell r="G69" t="str">
            <v>No requiere</v>
          </cell>
        </row>
        <row r="70">
          <cell r="A70" t="str">
            <v>EmergenciaAltaMedioSi12</v>
          </cell>
          <cell r="B70" t="str">
            <v>Emergencia</v>
          </cell>
          <cell r="C70" t="str">
            <v>Alta</v>
          </cell>
          <cell r="D70" t="str">
            <v>Medio</v>
          </cell>
          <cell r="E70" t="str">
            <v>Si</v>
          </cell>
          <cell r="F70" t="str">
            <v xml:space="preserve">12.     Realizar validación y confirmación funcional </v>
          </cell>
          <cell r="G70" t="str">
            <v>Requiere</v>
          </cell>
        </row>
        <row r="71">
          <cell r="A71" t="str">
            <v>EmergenciaAltaMedioSi13</v>
          </cell>
          <cell r="B71" t="str">
            <v>Emergencia</v>
          </cell>
          <cell r="C71" t="str">
            <v>Alta</v>
          </cell>
          <cell r="D71" t="str">
            <v>Medio</v>
          </cell>
          <cell r="E71" t="str">
            <v>Si</v>
          </cell>
          <cell r="F71" t="str">
            <v>13.   Realizar validación y confirmación técnica</v>
          </cell>
          <cell r="G71" t="str">
            <v>Requiere</v>
          </cell>
        </row>
        <row r="72">
          <cell r="A72" t="str">
            <v>EmergenciaAltaMedioSi14</v>
          </cell>
          <cell r="B72" t="str">
            <v>Emergencia</v>
          </cell>
          <cell r="C72" t="str">
            <v>Alta</v>
          </cell>
          <cell r="D72" t="str">
            <v>Medio</v>
          </cell>
          <cell r="E72" t="str">
            <v>Si</v>
          </cell>
          <cell r="F72" t="str">
            <v>14.   Validación de Performance pre y post cambio</v>
          </cell>
          <cell r="G72" t="str">
            <v>No requiere</v>
          </cell>
        </row>
        <row r="73">
          <cell r="A73" t="str">
            <v>EmergenciaAltaMedioSi2.</v>
          </cell>
          <cell r="B73" t="str">
            <v>Emergencia</v>
          </cell>
          <cell r="C73" t="str">
            <v>Alta</v>
          </cell>
          <cell r="D73" t="str">
            <v>Medio</v>
          </cell>
          <cell r="E73" t="str">
            <v>Si</v>
          </cell>
          <cell r="F73" t="str">
            <v>2.     Checklist Certificado</v>
          </cell>
          <cell r="G73" t="str">
            <v>No requiere</v>
          </cell>
        </row>
        <row r="74">
          <cell r="A74" t="str">
            <v>EmergenciaAltaMedioSi3.</v>
          </cell>
          <cell r="B74" t="str">
            <v>Emergencia</v>
          </cell>
          <cell r="C74" t="str">
            <v>Alta</v>
          </cell>
          <cell r="D74" t="str">
            <v>Medio</v>
          </cell>
          <cell r="E74" t="str">
            <v>Si</v>
          </cell>
          <cell r="F74" t="str">
            <v>3.     Rollback Certificado en ambiente previo</v>
          </cell>
          <cell r="G74" t="str">
            <v>No requiere</v>
          </cell>
        </row>
        <row r="75">
          <cell r="A75" t="str">
            <v>EmergenciaAltaMedioSi4.</v>
          </cell>
          <cell r="B75" t="str">
            <v>Emergencia</v>
          </cell>
          <cell r="C75" t="str">
            <v>Alta</v>
          </cell>
          <cell r="D75" t="str">
            <v>Medio</v>
          </cell>
          <cell r="E75" t="str">
            <v>Si</v>
          </cell>
          <cell r="F75" t="str">
            <v xml:space="preserve">4.     Confirmación de ejecución/funcionamiento correcto en Ambiente Previo </v>
          </cell>
          <cell r="G75" t="str">
            <v>Requiere</v>
          </cell>
        </row>
        <row r="76">
          <cell r="A76" t="str">
            <v>EmergenciaAltaMedioSi6.</v>
          </cell>
          <cell r="B76" t="str">
            <v>Emergencia</v>
          </cell>
          <cell r="C76" t="str">
            <v>Alta</v>
          </cell>
          <cell r="D76" t="str">
            <v>Medio</v>
          </cell>
          <cell r="E76" t="str">
            <v>Si</v>
          </cell>
          <cell r="F76" t="str">
            <v>6.   Evaluación de Riesgos TI</v>
          </cell>
          <cell r="G76" t="str">
            <v>Requiere</v>
          </cell>
        </row>
        <row r="77">
          <cell r="A77" t="str">
            <v>EmergenciaAltaMedioSi7.</v>
          </cell>
          <cell r="B77" t="str">
            <v>Emergencia</v>
          </cell>
          <cell r="C77" t="str">
            <v>Alta</v>
          </cell>
          <cell r="D77" t="str">
            <v>Medio</v>
          </cell>
          <cell r="E77" t="str">
            <v>Si</v>
          </cell>
          <cell r="F77" t="str">
            <v>7.     Análisis de reportes financieros</v>
          </cell>
          <cell r="G77" t="str">
            <v>No requiere</v>
          </cell>
        </row>
        <row r="78">
          <cell r="A78" t="str">
            <v>EmergenciaAltaMedioSi8.</v>
          </cell>
          <cell r="B78" t="str">
            <v>Emergencia</v>
          </cell>
          <cell r="C78" t="str">
            <v>Alta</v>
          </cell>
          <cell r="D78" t="str">
            <v>Medio</v>
          </cell>
          <cell r="E78" t="str">
            <v>Si</v>
          </cell>
          <cell r="F78" t="str">
            <v>8.     Garantizar soporte Estándar</v>
          </cell>
          <cell r="G78" t="str">
            <v>Requiere</v>
          </cell>
        </row>
        <row r="79">
          <cell r="A79" t="str">
            <v>EmergenciaAltaMedioSi9.</v>
          </cell>
          <cell r="B79" t="str">
            <v>Emergencia</v>
          </cell>
          <cell r="C79" t="str">
            <v>Alta</v>
          </cell>
          <cell r="D79" t="str">
            <v>Medio</v>
          </cell>
          <cell r="E79" t="str">
            <v>Si</v>
          </cell>
          <cell r="F79" t="str">
            <v xml:space="preserve">9.     Ofrecer Soporte físico </v>
          </cell>
          <cell r="G79" t="str">
            <v>Requiere</v>
          </cell>
        </row>
        <row r="80">
          <cell r="A80" t="str">
            <v>EmergenciaBajaAltoNo1.</v>
          </cell>
          <cell r="B80" t="str">
            <v>Emergencia</v>
          </cell>
          <cell r="C80" t="str">
            <v>Baja</v>
          </cell>
          <cell r="D80" t="str">
            <v>Alto</v>
          </cell>
          <cell r="E80" t="str">
            <v>No</v>
          </cell>
          <cell r="F80" t="str">
            <v xml:space="preserve">1.     Documentación requerida estándar </v>
          </cell>
          <cell r="G80" t="str">
            <v>No requiere</v>
          </cell>
        </row>
        <row r="81">
          <cell r="A81" t="str">
            <v>EmergenciaBajaAltoNo10</v>
          </cell>
          <cell r="B81" t="str">
            <v>Emergencia</v>
          </cell>
          <cell r="C81" t="str">
            <v>Baja</v>
          </cell>
          <cell r="D81" t="str">
            <v>Alto</v>
          </cell>
          <cell r="E81" t="str">
            <v>No</v>
          </cell>
          <cell r="F81" t="str">
            <v xml:space="preserve">10.     Ofrecer Soporte remoto </v>
          </cell>
          <cell r="G81" t="str">
            <v>No requiere</v>
          </cell>
        </row>
        <row r="82">
          <cell r="A82" t="str">
            <v>EmergenciaBajaAltoNo11</v>
          </cell>
          <cell r="B82" t="str">
            <v>Emergencia</v>
          </cell>
          <cell r="C82" t="str">
            <v>Baja</v>
          </cell>
          <cell r="D82" t="str">
            <v>Alto</v>
          </cell>
          <cell r="E82" t="str">
            <v>No</v>
          </cell>
          <cell r="F82" t="str">
            <v>11.     Ofrecer Soporte de vida temprana (ELS)</v>
          </cell>
          <cell r="G82" t="str">
            <v>Requiere</v>
          </cell>
        </row>
        <row r="83">
          <cell r="A83" t="str">
            <v>EmergenciaBajaAltoNo12</v>
          </cell>
          <cell r="B83" t="str">
            <v>Emergencia</v>
          </cell>
          <cell r="C83" t="str">
            <v>Baja</v>
          </cell>
          <cell r="D83" t="str">
            <v>Alto</v>
          </cell>
          <cell r="E83" t="str">
            <v>No</v>
          </cell>
          <cell r="F83" t="str">
            <v xml:space="preserve">12.     Realizar validación y confirmación funcional </v>
          </cell>
          <cell r="G83" t="str">
            <v>Requiere</v>
          </cell>
        </row>
        <row r="84">
          <cell r="A84" t="str">
            <v>EmergenciaBajaAltoNo13</v>
          </cell>
          <cell r="B84" t="str">
            <v>Emergencia</v>
          </cell>
          <cell r="C84" t="str">
            <v>Baja</v>
          </cell>
          <cell r="D84" t="str">
            <v>Alto</v>
          </cell>
          <cell r="E84" t="str">
            <v>No</v>
          </cell>
          <cell r="F84" t="str">
            <v>13.   Realizar validación y confirmación técnica</v>
          </cell>
          <cell r="G84" t="str">
            <v>Requiere</v>
          </cell>
        </row>
        <row r="85">
          <cell r="A85" t="str">
            <v>EmergenciaBajaAltoNo14</v>
          </cell>
          <cell r="B85" t="str">
            <v>Emergencia</v>
          </cell>
          <cell r="C85" t="str">
            <v>Baja</v>
          </cell>
          <cell r="D85" t="str">
            <v>Alto</v>
          </cell>
          <cell r="E85" t="str">
            <v>No</v>
          </cell>
          <cell r="F85" t="str">
            <v>14.   Validación de Performance pre y post cambio</v>
          </cell>
          <cell r="G85" t="str">
            <v>No requiere</v>
          </cell>
        </row>
        <row r="86">
          <cell r="A86" t="str">
            <v>EmergenciaBajaAltoNo2.</v>
          </cell>
          <cell r="B86" t="str">
            <v>Emergencia</v>
          </cell>
          <cell r="C86" t="str">
            <v>Baja</v>
          </cell>
          <cell r="D86" t="str">
            <v>Alto</v>
          </cell>
          <cell r="E86" t="str">
            <v>No</v>
          </cell>
          <cell r="F86" t="str">
            <v>2.     Checklist Certificado</v>
          </cell>
          <cell r="G86" t="str">
            <v>No requiere</v>
          </cell>
        </row>
        <row r="87">
          <cell r="A87" t="str">
            <v>EmergenciaBajaAltoNo3.</v>
          </cell>
          <cell r="B87" t="str">
            <v>Emergencia</v>
          </cell>
          <cell r="C87" t="str">
            <v>Baja</v>
          </cell>
          <cell r="D87" t="str">
            <v>Alto</v>
          </cell>
          <cell r="E87" t="str">
            <v>No</v>
          </cell>
          <cell r="F87" t="str">
            <v>3.     Rollback Certificado en ambiente previo</v>
          </cell>
          <cell r="G87" t="str">
            <v>No requiere</v>
          </cell>
        </row>
        <row r="88">
          <cell r="A88" t="str">
            <v>EmergenciaBajaAltoNo4.</v>
          </cell>
          <cell r="B88" t="str">
            <v>Emergencia</v>
          </cell>
          <cell r="C88" t="str">
            <v>Baja</v>
          </cell>
          <cell r="D88" t="str">
            <v>Alto</v>
          </cell>
          <cell r="E88" t="str">
            <v>No</v>
          </cell>
          <cell r="F88" t="str">
            <v xml:space="preserve">4.     Confirmación de ejecución/funcionamiento correcto en Ambiente Previo </v>
          </cell>
          <cell r="G88" t="str">
            <v>No requiere</v>
          </cell>
        </row>
        <row r="89">
          <cell r="A89" t="str">
            <v>EmergenciaMediaBajoNo12</v>
          </cell>
          <cell r="B89" t="str">
            <v>Emergencia</v>
          </cell>
          <cell r="C89" t="str">
            <v>Baja</v>
          </cell>
          <cell r="D89" t="str">
            <v>Alto</v>
          </cell>
          <cell r="E89" t="str">
            <v>No</v>
          </cell>
          <cell r="F89" t="str">
            <v>6.   Evaluación de Riesgos TI</v>
          </cell>
          <cell r="G89" t="str">
            <v>Requiere</v>
          </cell>
        </row>
        <row r="90">
          <cell r="A90" t="str">
            <v>EmergenciaBajaAltoNo7.</v>
          </cell>
          <cell r="B90" t="str">
            <v>Emergencia</v>
          </cell>
          <cell r="C90" t="str">
            <v>Baja</v>
          </cell>
          <cell r="D90" t="str">
            <v>Alto</v>
          </cell>
          <cell r="E90" t="str">
            <v>No</v>
          </cell>
          <cell r="F90" t="str">
            <v>7.     Análisis de reportes financieros</v>
          </cell>
          <cell r="G90" t="str">
            <v>No requiere</v>
          </cell>
        </row>
        <row r="91">
          <cell r="A91" t="str">
            <v>EmergenciaBajaAltoNo8.</v>
          </cell>
          <cell r="B91" t="str">
            <v>Emergencia</v>
          </cell>
          <cell r="C91" t="str">
            <v>Baja</v>
          </cell>
          <cell r="D91" t="str">
            <v>Alto</v>
          </cell>
          <cell r="E91" t="str">
            <v>No</v>
          </cell>
          <cell r="F91" t="str">
            <v>8.     Garantizar soporte Estándar</v>
          </cell>
          <cell r="G91" t="str">
            <v>Requiere</v>
          </cell>
        </row>
        <row r="92">
          <cell r="A92" t="str">
            <v>EmergenciaBajaAltoNo9.</v>
          </cell>
          <cell r="B92" t="str">
            <v>Emergencia</v>
          </cell>
          <cell r="C92" t="str">
            <v>Baja</v>
          </cell>
          <cell r="D92" t="str">
            <v>Alto</v>
          </cell>
          <cell r="E92" t="str">
            <v>No</v>
          </cell>
          <cell r="F92" t="str">
            <v xml:space="preserve">9.     Ofrecer Soporte físico </v>
          </cell>
          <cell r="G92" t="str">
            <v>Requiere</v>
          </cell>
        </row>
        <row r="93">
          <cell r="A93" t="str">
            <v>EmergenciaBajaAltoSi1.</v>
          </cell>
          <cell r="B93" t="str">
            <v>Emergencia</v>
          </cell>
          <cell r="C93" t="str">
            <v>Baja</v>
          </cell>
          <cell r="D93" t="str">
            <v>Alto</v>
          </cell>
          <cell r="E93" t="str">
            <v>Si</v>
          </cell>
          <cell r="F93" t="str">
            <v xml:space="preserve">1.     Documentación requerida estándar </v>
          </cell>
          <cell r="G93" t="str">
            <v>No requiere</v>
          </cell>
        </row>
        <row r="94">
          <cell r="A94" t="str">
            <v>EmergenciaBajaAltoSi10</v>
          </cell>
          <cell r="B94" t="str">
            <v>Emergencia</v>
          </cell>
          <cell r="C94" t="str">
            <v>Baja</v>
          </cell>
          <cell r="D94" t="str">
            <v>Alto</v>
          </cell>
          <cell r="E94" t="str">
            <v>Si</v>
          </cell>
          <cell r="F94" t="str">
            <v xml:space="preserve">10.     Ofrecer Soporte remoto </v>
          </cell>
          <cell r="G94" t="str">
            <v>No requiere</v>
          </cell>
        </row>
        <row r="95">
          <cell r="A95" t="str">
            <v>EmergenciaBajaAltoSi11</v>
          </cell>
          <cell r="B95" t="str">
            <v>Emergencia</v>
          </cell>
          <cell r="C95" t="str">
            <v>Baja</v>
          </cell>
          <cell r="D95" t="str">
            <v>Alto</v>
          </cell>
          <cell r="E95" t="str">
            <v>Si</v>
          </cell>
          <cell r="F95" t="str">
            <v>11.     Ofrecer Soporte de vida temprana (ELS)</v>
          </cell>
          <cell r="G95" t="str">
            <v>No requiere</v>
          </cell>
        </row>
        <row r="96">
          <cell r="A96" t="str">
            <v>EmergenciaBajaAltoSi12</v>
          </cell>
          <cell r="B96" t="str">
            <v>Emergencia</v>
          </cell>
          <cell r="C96" t="str">
            <v>Baja</v>
          </cell>
          <cell r="D96" t="str">
            <v>Alto</v>
          </cell>
          <cell r="E96" t="str">
            <v>Si</v>
          </cell>
          <cell r="F96" t="str">
            <v xml:space="preserve">12.     Realizar validación y confirmación funcional </v>
          </cell>
          <cell r="G96" t="str">
            <v>Requiere</v>
          </cell>
        </row>
        <row r="97">
          <cell r="A97" t="str">
            <v>EmergenciaBajaAltoSi13</v>
          </cell>
          <cell r="B97" t="str">
            <v>Emergencia</v>
          </cell>
          <cell r="C97" t="str">
            <v>Baja</v>
          </cell>
          <cell r="D97" t="str">
            <v>Alto</v>
          </cell>
          <cell r="E97" t="str">
            <v>Si</v>
          </cell>
          <cell r="F97" t="str">
            <v>13.   Realizar validación y confirmación técnica</v>
          </cell>
          <cell r="G97" t="str">
            <v>Requiere</v>
          </cell>
        </row>
        <row r="98">
          <cell r="A98" t="str">
            <v>EmergenciaBajaAltoSi14</v>
          </cell>
          <cell r="B98" t="str">
            <v>Emergencia</v>
          </cell>
          <cell r="C98" t="str">
            <v>Baja</v>
          </cell>
          <cell r="D98" t="str">
            <v>Alto</v>
          </cell>
          <cell r="E98" t="str">
            <v>Si</v>
          </cell>
          <cell r="F98" t="str">
            <v>14.   Validación de Performance pre y post cambio</v>
          </cell>
          <cell r="G98" t="str">
            <v>No requiere</v>
          </cell>
        </row>
        <row r="99">
          <cell r="A99" t="str">
            <v>EmergenciaBajaAltoSi2.</v>
          </cell>
          <cell r="B99" t="str">
            <v>Emergencia</v>
          </cell>
          <cell r="C99" t="str">
            <v>Baja</v>
          </cell>
          <cell r="D99" t="str">
            <v>Alto</v>
          </cell>
          <cell r="E99" t="str">
            <v>Si</v>
          </cell>
          <cell r="F99" t="str">
            <v>2.     Checklist Certificado</v>
          </cell>
          <cell r="G99" t="str">
            <v>No requiere</v>
          </cell>
        </row>
        <row r="100">
          <cell r="A100" t="str">
            <v>EmergenciaBajaAltoSi3.</v>
          </cell>
          <cell r="B100" t="str">
            <v>Emergencia</v>
          </cell>
          <cell r="C100" t="str">
            <v>Baja</v>
          </cell>
          <cell r="D100" t="str">
            <v>Alto</v>
          </cell>
          <cell r="E100" t="str">
            <v>Si</v>
          </cell>
          <cell r="F100" t="str">
            <v>3.     Rollback Certificado en ambiente previo</v>
          </cell>
          <cell r="G100" t="str">
            <v>No requiere</v>
          </cell>
        </row>
        <row r="101">
          <cell r="A101" t="str">
            <v>EmergenciaBajaAltoSi4.</v>
          </cell>
          <cell r="B101" t="str">
            <v>Emergencia</v>
          </cell>
          <cell r="C101" t="str">
            <v>Baja</v>
          </cell>
          <cell r="D101" t="str">
            <v>Alto</v>
          </cell>
          <cell r="E101" t="str">
            <v>Si</v>
          </cell>
          <cell r="F101" t="str">
            <v xml:space="preserve">4.     Confirmación de ejecución/funcionamiento correcto en Ambiente Previo </v>
          </cell>
          <cell r="G101" t="str">
            <v>Requiere</v>
          </cell>
        </row>
        <row r="102">
          <cell r="A102" t="str">
            <v>EmergenciaAltaBajoSi12</v>
          </cell>
          <cell r="B102" t="str">
            <v>Emergencia</v>
          </cell>
          <cell r="C102" t="str">
            <v>Baja</v>
          </cell>
          <cell r="D102" t="str">
            <v>Alto</v>
          </cell>
          <cell r="E102" t="str">
            <v>Si</v>
          </cell>
          <cell r="F102" t="str">
            <v>6.   Evaluación de Riesgos TI</v>
          </cell>
          <cell r="G102" t="str">
            <v>Requiere</v>
          </cell>
        </row>
        <row r="103">
          <cell r="A103" t="str">
            <v>EmergenciaBajaAltoSi7.</v>
          </cell>
          <cell r="B103" t="str">
            <v>Emergencia</v>
          </cell>
          <cell r="C103" t="str">
            <v>Baja</v>
          </cell>
          <cell r="D103" t="str">
            <v>Alto</v>
          </cell>
          <cell r="E103" t="str">
            <v>Si</v>
          </cell>
          <cell r="F103" t="str">
            <v>7.     Análisis de reportes financieros</v>
          </cell>
          <cell r="G103" t="str">
            <v>No requiere</v>
          </cell>
        </row>
        <row r="104">
          <cell r="A104" t="str">
            <v>EmergenciaBajaAltoSi8.</v>
          </cell>
          <cell r="B104" t="str">
            <v>Emergencia</v>
          </cell>
          <cell r="C104" t="str">
            <v>Baja</v>
          </cell>
          <cell r="D104" t="str">
            <v>Alto</v>
          </cell>
          <cell r="E104" t="str">
            <v>Si</v>
          </cell>
          <cell r="F104" t="str">
            <v>8.     Garantizar soporte Estándar</v>
          </cell>
          <cell r="G104" t="str">
            <v>Requiere</v>
          </cell>
        </row>
        <row r="105">
          <cell r="A105" t="str">
            <v>EmergenciaBajaAltoSi9.</v>
          </cell>
          <cell r="B105" t="str">
            <v>Emergencia</v>
          </cell>
          <cell r="C105" t="str">
            <v>Baja</v>
          </cell>
          <cell r="D105" t="str">
            <v>Alto</v>
          </cell>
          <cell r="E105" t="str">
            <v>Si</v>
          </cell>
          <cell r="F105" t="str">
            <v xml:space="preserve">9.     Ofrecer Soporte físico </v>
          </cell>
          <cell r="G105" t="str">
            <v>Requiere</v>
          </cell>
        </row>
        <row r="106">
          <cell r="A106" t="str">
            <v>EmergenciaBajaBajoNo1.</v>
          </cell>
          <cell r="B106" t="str">
            <v>Emergencia</v>
          </cell>
          <cell r="C106" t="str">
            <v>Baja</v>
          </cell>
          <cell r="D106" t="str">
            <v>Bajo</v>
          </cell>
          <cell r="E106" t="str">
            <v>No</v>
          </cell>
          <cell r="F106" t="str">
            <v xml:space="preserve">1.     Documentación requerida estándar </v>
          </cell>
          <cell r="G106" t="str">
            <v>No requiere</v>
          </cell>
        </row>
        <row r="107">
          <cell r="A107" t="str">
            <v>EmergenciaBajaBajoNo10</v>
          </cell>
          <cell r="B107" t="str">
            <v>Emergencia</v>
          </cell>
          <cell r="C107" t="str">
            <v>Baja</v>
          </cell>
          <cell r="D107" t="str">
            <v>Bajo</v>
          </cell>
          <cell r="E107" t="str">
            <v>No</v>
          </cell>
          <cell r="F107" t="str">
            <v xml:space="preserve">10.     Ofrecer Soporte remoto </v>
          </cell>
          <cell r="G107" t="str">
            <v>Requiere</v>
          </cell>
        </row>
        <row r="108">
          <cell r="A108" t="str">
            <v>EmergenciaBajaBajoNo11</v>
          </cell>
          <cell r="B108" t="str">
            <v>Emergencia</v>
          </cell>
          <cell r="C108" t="str">
            <v>Baja</v>
          </cell>
          <cell r="D108" t="str">
            <v>Bajo</v>
          </cell>
          <cell r="E108" t="str">
            <v>No</v>
          </cell>
          <cell r="F108" t="str">
            <v>11.     Ofrecer Soporte de vida temprana (ELS)</v>
          </cell>
          <cell r="G108" t="str">
            <v>No requiere</v>
          </cell>
        </row>
        <row r="109">
          <cell r="A109" t="str">
            <v>EmergenciaBajaBajoNo12</v>
          </cell>
          <cell r="B109" t="str">
            <v>Emergencia</v>
          </cell>
          <cell r="C109" t="str">
            <v>Baja</v>
          </cell>
          <cell r="D109" t="str">
            <v>Bajo</v>
          </cell>
          <cell r="E109" t="str">
            <v>No</v>
          </cell>
          <cell r="F109" t="str">
            <v xml:space="preserve">12.     Realizar validación y confirmación funcional </v>
          </cell>
          <cell r="G109" t="str">
            <v>Requiere</v>
          </cell>
        </row>
        <row r="110">
          <cell r="A110" t="str">
            <v>EmergenciaBajaBajoNo13</v>
          </cell>
          <cell r="B110" t="str">
            <v>Emergencia</v>
          </cell>
          <cell r="C110" t="str">
            <v>Baja</v>
          </cell>
          <cell r="D110" t="str">
            <v>Bajo</v>
          </cell>
          <cell r="E110" t="str">
            <v>No</v>
          </cell>
          <cell r="F110" t="str">
            <v>13.   Realizar validación y confirmación técnica</v>
          </cell>
          <cell r="G110" t="str">
            <v>Requiere</v>
          </cell>
        </row>
        <row r="111">
          <cell r="A111" t="str">
            <v>EmergenciaBajaBajoNo14</v>
          </cell>
          <cell r="B111" t="str">
            <v>Emergencia</v>
          </cell>
          <cell r="C111" t="str">
            <v>Baja</v>
          </cell>
          <cell r="D111" t="str">
            <v>Bajo</v>
          </cell>
          <cell r="E111" t="str">
            <v>No</v>
          </cell>
          <cell r="F111" t="str">
            <v>14.   Validación de Performance pre y post cambio</v>
          </cell>
          <cell r="G111" t="str">
            <v>No requiere</v>
          </cell>
        </row>
        <row r="112">
          <cell r="A112" t="str">
            <v>EmergenciaBajaBajoNo2.</v>
          </cell>
          <cell r="B112" t="str">
            <v>Emergencia</v>
          </cell>
          <cell r="C112" t="str">
            <v>Baja</v>
          </cell>
          <cell r="D112" t="str">
            <v>Bajo</v>
          </cell>
          <cell r="E112" t="str">
            <v>No</v>
          </cell>
          <cell r="F112" t="str">
            <v>2.     Checklist Certificado</v>
          </cell>
          <cell r="G112" t="str">
            <v>No requiere</v>
          </cell>
        </row>
        <row r="113">
          <cell r="A113" t="str">
            <v>EmergenciaBajaBajoNo3.</v>
          </cell>
          <cell r="B113" t="str">
            <v>Emergencia</v>
          </cell>
          <cell r="C113" t="str">
            <v>Baja</v>
          </cell>
          <cell r="D113" t="str">
            <v>Bajo</v>
          </cell>
          <cell r="E113" t="str">
            <v>No</v>
          </cell>
          <cell r="F113" t="str">
            <v>3.     Rollback Certificado en ambiente previo</v>
          </cell>
          <cell r="G113" t="str">
            <v>No requiere</v>
          </cell>
        </row>
        <row r="114">
          <cell r="A114" t="str">
            <v>EmergenciaBajaBajoNo4.</v>
          </cell>
          <cell r="B114" t="str">
            <v>Emergencia</v>
          </cell>
          <cell r="C114" t="str">
            <v>Baja</v>
          </cell>
          <cell r="D114" t="str">
            <v>Bajo</v>
          </cell>
          <cell r="E114" t="str">
            <v>No</v>
          </cell>
          <cell r="F114" t="str">
            <v xml:space="preserve">4.     Confirmación de ejecución/funcionamiento correcto en Ambiente Previo </v>
          </cell>
          <cell r="G114" t="str">
            <v>No requiere</v>
          </cell>
        </row>
        <row r="115">
          <cell r="A115" t="str">
            <v>EmergenciaBajaAltoNo12</v>
          </cell>
          <cell r="B115" t="str">
            <v>Emergencia</v>
          </cell>
          <cell r="C115" t="str">
            <v>Baja</v>
          </cell>
          <cell r="D115" t="str">
            <v>Bajo</v>
          </cell>
          <cell r="E115" t="str">
            <v>No</v>
          </cell>
          <cell r="F115" t="str">
            <v>6.   Evaluación de Riesgos TI</v>
          </cell>
          <cell r="G115" t="str">
            <v>No requiere</v>
          </cell>
        </row>
        <row r="116">
          <cell r="A116" t="str">
            <v>EmergenciaBajaBajoNo7.</v>
          </cell>
          <cell r="B116" t="str">
            <v>Emergencia</v>
          </cell>
          <cell r="C116" t="str">
            <v>Baja</v>
          </cell>
          <cell r="D116" t="str">
            <v>Bajo</v>
          </cell>
          <cell r="E116" t="str">
            <v>No</v>
          </cell>
          <cell r="F116" t="str">
            <v>7.     Análisis de reportes financieros</v>
          </cell>
          <cell r="G116" t="str">
            <v>No requiere</v>
          </cell>
        </row>
        <row r="117">
          <cell r="A117" t="str">
            <v>EmergenciaBajaBajoNo8.</v>
          </cell>
          <cell r="B117" t="str">
            <v>Emergencia</v>
          </cell>
          <cell r="C117" t="str">
            <v>Baja</v>
          </cell>
          <cell r="D117" t="str">
            <v>Bajo</v>
          </cell>
          <cell r="E117" t="str">
            <v>No</v>
          </cell>
          <cell r="F117" t="str">
            <v>8.     Garantizar soporte Estándar</v>
          </cell>
          <cell r="G117" t="str">
            <v>Requiere</v>
          </cell>
        </row>
        <row r="118">
          <cell r="A118" t="str">
            <v>EmergenciaBajaBajoNo9.</v>
          </cell>
          <cell r="B118" t="str">
            <v>Emergencia</v>
          </cell>
          <cell r="C118" t="str">
            <v>Baja</v>
          </cell>
          <cell r="D118" t="str">
            <v>Bajo</v>
          </cell>
          <cell r="E118" t="str">
            <v>No</v>
          </cell>
          <cell r="F118" t="str">
            <v xml:space="preserve">9.     Ofrecer Soporte físico </v>
          </cell>
          <cell r="G118" t="str">
            <v>No requiere</v>
          </cell>
        </row>
        <row r="119">
          <cell r="A119" t="str">
            <v>EmergenciaBajaBajoSi1.</v>
          </cell>
          <cell r="B119" t="str">
            <v>Emergencia</v>
          </cell>
          <cell r="C119" t="str">
            <v>Baja</v>
          </cell>
          <cell r="D119" t="str">
            <v>Bajo</v>
          </cell>
          <cell r="E119" t="str">
            <v>Si</v>
          </cell>
          <cell r="F119" t="str">
            <v xml:space="preserve">1.     Documentación requerida estándar </v>
          </cell>
          <cell r="G119" t="str">
            <v>No requiere</v>
          </cell>
        </row>
        <row r="120">
          <cell r="A120" t="str">
            <v>EmergenciaBajaBajoSi10</v>
          </cell>
          <cell r="B120" t="str">
            <v>Emergencia</v>
          </cell>
          <cell r="C120" t="str">
            <v>Baja</v>
          </cell>
          <cell r="D120" t="str">
            <v>Bajo</v>
          </cell>
          <cell r="E120" t="str">
            <v>Si</v>
          </cell>
          <cell r="F120" t="str">
            <v xml:space="preserve">10.     Ofrecer Soporte remoto </v>
          </cell>
          <cell r="G120" t="str">
            <v>Requiere</v>
          </cell>
        </row>
        <row r="121">
          <cell r="A121" t="str">
            <v>EmergenciaBajaBajoSi11</v>
          </cell>
          <cell r="B121" t="str">
            <v>Emergencia</v>
          </cell>
          <cell r="C121" t="str">
            <v>Baja</v>
          </cell>
          <cell r="D121" t="str">
            <v>Bajo</v>
          </cell>
          <cell r="E121" t="str">
            <v>Si</v>
          </cell>
          <cell r="F121" t="str">
            <v>11.     Ofrecer Soporte de vida temprana (ELS)</v>
          </cell>
          <cell r="G121" t="str">
            <v>Requiere</v>
          </cell>
        </row>
        <row r="122">
          <cell r="A122" t="str">
            <v>EmergenciaBajaBajoSi12</v>
          </cell>
          <cell r="B122" t="str">
            <v>Emergencia</v>
          </cell>
          <cell r="C122" t="str">
            <v>Baja</v>
          </cell>
          <cell r="D122" t="str">
            <v>Bajo</v>
          </cell>
          <cell r="E122" t="str">
            <v>Si</v>
          </cell>
          <cell r="F122" t="str">
            <v xml:space="preserve">12.     Realizar validación y confirmación funcional </v>
          </cell>
          <cell r="G122" t="str">
            <v>Requiere</v>
          </cell>
        </row>
        <row r="123">
          <cell r="A123" t="str">
            <v>EmergenciaBajaBajoSi13</v>
          </cell>
          <cell r="B123" t="str">
            <v>Emergencia</v>
          </cell>
          <cell r="C123" t="str">
            <v>Baja</v>
          </cell>
          <cell r="D123" t="str">
            <v>Bajo</v>
          </cell>
          <cell r="E123" t="str">
            <v>Si</v>
          </cell>
          <cell r="F123" t="str">
            <v>13.   Realizar validación y confirmación técnica</v>
          </cell>
          <cell r="G123" t="str">
            <v>Requiere</v>
          </cell>
        </row>
        <row r="124">
          <cell r="A124" t="str">
            <v>EmergenciaBajaBajoSi14</v>
          </cell>
          <cell r="B124" t="str">
            <v>Emergencia</v>
          </cell>
          <cell r="C124" t="str">
            <v>Baja</v>
          </cell>
          <cell r="D124" t="str">
            <v>Bajo</v>
          </cell>
          <cell r="E124" t="str">
            <v>Si</v>
          </cell>
          <cell r="F124" t="str">
            <v>14.   Validación de Performance pre y post cambio</v>
          </cell>
          <cell r="G124" t="str">
            <v>No requiere</v>
          </cell>
        </row>
        <row r="125">
          <cell r="A125" t="str">
            <v>EmergenciaBajaBajoSi2.</v>
          </cell>
          <cell r="B125" t="str">
            <v>Emergencia</v>
          </cell>
          <cell r="C125" t="str">
            <v>Baja</v>
          </cell>
          <cell r="D125" t="str">
            <v>Bajo</v>
          </cell>
          <cell r="E125" t="str">
            <v>Si</v>
          </cell>
          <cell r="F125" t="str">
            <v>2.     Checklist Certificado</v>
          </cell>
          <cell r="G125" t="str">
            <v>No requiere</v>
          </cell>
        </row>
        <row r="126">
          <cell r="A126" t="str">
            <v>EmergenciaBajaBajoSi3.</v>
          </cell>
          <cell r="B126" t="str">
            <v>Emergencia</v>
          </cell>
          <cell r="C126" t="str">
            <v>Baja</v>
          </cell>
          <cell r="D126" t="str">
            <v>Bajo</v>
          </cell>
          <cell r="E126" t="str">
            <v>Si</v>
          </cell>
          <cell r="F126" t="str">
            <v>3.     Rollback Certificado en ambiente previo</v>
          </cell>
          <cell r="G126" t="str">
            <v>No requiere</v>
          </cell>
        </row>
        <row r="127">
          <cell r="A127" t="str">
            <v>EmergenciaBajaBajoSi4.</v>
          </cell>
          <cell r="B127" t="str">
            <v>Emergencia</v>
          </cell>
          <cell r="C127" t="str">
            <v>Baja</v>
          </cell>
          <cell r="D127" t="str">
            <v>Bajo</v>
          </cell>
          <cell r="E127" t="str">
            <v>Si</v>
          </cell>
          <cell r="F127" t="str">
            <v xml:space="preserve">4.     Confirmación de ejecución/funcionamiento correcto en Ambiente Previo </v>
          </cell>
          <cell r="G127" t="str">
            <v>Requiere</v>
          </cell>
        </row>
        <row r="128">
          <cell r="A128" t="str">
            <v>EmergenciaAltaAltoSi12</v>
          </cell>
          <cell r="B128" t="str">
            <v>Emergencia</v>
          </cell>
          <cell r="C128" t="str">
            <v>Baja</v>
          </cell>
          <cell r="D128" t="str">
            <v>Bajo</v>
          </cell>
          <cell r="E128" t="str">
            <v>Si</v>
          </cell>
          <cell r="F128" t="str">
            <v>6.   Evaluación de Riesgos TI</v>
          </cell>
          <cell r="G128" t="str">
            <v>No requiere</v>
          </cell>
        </row>
        <row r="129">
          <cell r="A129" t="str">
            <v>EmergenciaBajaBajoSi7.</v>
          </cell>
          <cell r="B129" t="str">
            <v>Emergencia</v>
          </cell>
          <cell r="C129" t="str">
            <v>Baja</v>
          </cell>
          <cell r="D129" t="str">
            <v>Bajo</v>
          </cell>
          <cell r="E129" t="str">
            <v>Si</v>
          </cell>
          <cell r="F129" t="str">
            <v>7.     Análisis de reportes financieros</v>
          </cell>
          <cell r="G129" t="str">
            <v>No requiere</v>
          </cell>
        </row>
        <row r="130">
          <cell r="A130" t="str">
            <v>EmergenciaBajaBajoSi8.</v>
          </cell>
          <cell r="B130" t="str">
            <v>Emergencia</v>
          </cell>
          <cell r="C130" t="str">
            <v>Baja</v>
          </cell>
          <cell r="D130" t="str">
            <v>Bajo</v>
          </cell>
          <cell r="E130" t="str">
            <v>Si</v>
          </cell>
          <cell r="F130" t="str">
            <v>8.     Garantizar soporte Estándar</v>
          </cell>
          <cell r="G130" t="str">
            <v>Requiere</v>
          </cell>
        </row>
        <row r="131">
          <cell r="A131" t="str">
            <v>EmergenciaBajaBajoSi9.</v>
          </cell>
          <cell r="B131" t="str">
            <v>Emergencia</v>
          </cell>
          <cell r="C131" t="str">
            <v>Baja</v>
          </cell>
          <cell r="D131" t="str">
            <v>Bajo</v>
          </cell>
          <cell r="E131" t="str">
            <v>Si</v>
          </cell>
          <cell r="F131" t="str">
            <v xml:space="preserve">9.     Ofrecer Soporte físico </v>
          </cell>
          <cell r="G131" t="str">
            <v>No requiere</v>
          </cell>
        </row>
        <row r="132">
          <cell r="A132" t="str">
            <v>EmergenciaBajaMedioNo1.</v>
          </cell>
          <cell r="B132" t="str">
            <v>Emergencia</v>
          </cell>
          <cell r="C132" t="str">
            <v>Baja</v>
          </cell>
          <cell r="D132" t="str">
            <v>Medio</v>
          </cell>
          <cell r="E132" t="str">
            <v>No</v>
          </cell>
          <cell r="F132" t="str">
            <v xml:space="preserve">1.     Documentación requerida estándar </v>
          </cell>
          <cell r="G132" t="str">
            <v>No requiere</v>
          </cell>
        </row>
        <row r="133">
          <cell r="A133" t="str">
            <v>EmergenciaBajaMedioNo10</v>
          </cell>
          <cell r="B133" t="str">
            <v>Emergencia</v>
          </cell>
          <cell r="C133" t="str">
            <v>Baja</v>
          </cell>
          <cell r="D133" t="str">
            <v>Medio</v>
          </cell>
          <cell r="E133" t="str">
            <v>No</v>
          </cell>
          <cell r="F133" t="str">
            <v xml:space="preserve">10.     Ofrecer Soporte remoto </v>
          </cell>
          <cell r="G133" t="str">
            <v>Requiere</v>
          </cell>
        </row>
        <row r="134">
          <cell r="A134" t="str">
            <v>EmergenciaBajaMedioNo11</v>
          </cell>
          <cell r="B134" t="str">
            <v>Emergencia</v>
          </cell>
          <cell r="C134" t="str">
            <v>Baja</v>
          </cell>
          <cell r="D134" t="str">
            <v>Medio</v>
          </cell>
          <cell r="E134" t="str">
            <v>No</v>
          </cell>
          <cell r="F134" t="str">
            <v>11.     Ofrecer Soporte de vida temprana (ELS)</v>
          </cell>
          <cell r="G134" t="str">
            <v>No requiere</v>
          </cell>
        </row>
        <row r="135">
          <cell r="A135" t="str">
            <v>EmergenciaBajaMedioNo12</v>
          </cell>
          <cell r="B135" t="str">
            <v>Emergencia</v>
          </cell>
          <cell r="C135" t="str">
            <v>Baja</v>
          </cell>
          <cell r="D135" t="str">
            <v>Medio</v>
          </cell>
          <cell r="E135" t="str">
            <v>No</v>
          </cell>
          <cell r="F135" t="str">
            <v xml:space="preserve">12.     Realizar validación y confirmación funcional </v>
          </cell>
          <cell r="G135" t="str">
            <v>Requiere</v>
          </cell>
        </row>
        <row r="136">
          <cell r="A136" t="str">
            <v>EmergenciaBajaMedioNo13</v>
          </cell>
          <cell r="B136" t="str">
            <v>Emergencia</v>
          </cell>
          <cell r="C136" t="str">
            <v>Baja</v>
          </cell>
          <cell r="D136" t="str">
            <v>Medio</v>
          </cell>
          <cell r="E136" t="str">
            <v>No</v>
          </cell>
          <cell r="F136" t="str">
            <v>13.   Realizar validación y confirmación técnica</v>
          </cell>
          <cell r="G136" t="str">
            <v>Requiere</v>
          </cell>
        </row>
        <row r="137">
          <cell r="A137" t="str">
            <v>EmergenciaBajaMedioNo14</v>
          </cell>
          <cell r="B137" t="str">
            <v>Emergencia</v>
          </cell>
          <cell r="C137" t="str">
            <v>Baja</v>
          </cell>
          <cell r="D137" t="str">
            <v>Medio</v>
          </cell>
          <cell r="E137" t="str">
            <v>No</v>
          </cell>
          <cell r="F137" t="str">
            <v>14.   Validación de Performance pre y post cambio</v>
          </cell>
          <cell r="G137" t="str">
            <v>No requiere</v>
          </cell>
        </row>
        <row r="138">
          <cell r="A138" t="str">
            <v>EmergenciaBajaMedioNo2.</v>
          </cell>
          <cell r="B138" t="str">
            <v>Emergencia</v>
          </cell>
          <cell r="C138" t="str">
            <v>Baja</v>
          </cell>
          <cell r="D138" t="str">
            <v>Medio</v>
          </cell>
          <cell r="E138" t="str">
            <v>No</v>
          </cell>
          <cell r="F138" t="str">
            <v>2.     Checklist Certificado</v>
          </cell>
          <cell r="G138" t="str">
            <v>No requiere</v>
          </cell>
        </row>
        <row r="139">
          <cell r="A139" t="str">
            <v>EmergenciaBajaMedioNo3.</v>
          </cell>
          <cell r="B139" t="str">
            <v>Emergencia</v>
          </cell>
          <cell r="C139" t="str">
            <v>Baja</v>
          </cell>
          <cell r="D139" t="str">
            <v>Medio</v>
          </cell>
          <cell r="E139" t="str">
            <v>No</v>
          </cell>
          <cell r="F139" t="str">
            <v>3.     Rollback Certificado en ambiente previo</v>
          </cell>
          <cell r="G139" t="str">
            <v>No requiere</v>
          </cell>
        </row>
        <row r="140">
          <cell r="A140" t="str">
            <v>EmergenciaBajaMedioNo4.</v>
          </cell>
          <cell r="B140" t="str">
            <v>Emergencia</v>
          </cell>
          <cell r="C140" t="str">
            <v>Baja</v>
          </cell>
          <cell r="D140" t="str">
            <v>Medio</v>
          </cell>
          <cell r="E140" t="str">
            <v>No</v>
          </cell>
          <cell r="F140" t="str">
            <v xml:space="preserve">4.     Confirmación de ejecución/funcionamiento correcto en Ambiente Previo </v>
          </cell>
          <cell r="G140" t="str">
            <v>No requiere</v>
          </cell>
        </row>
        <row r="141">
          <cell r="A141" t="str">
            <v>EmergenciaMediaBajoNo12</v>
          </cell>
          <cell r="B141" t="str">
            <v>Emergencia</v>
          </cell>
          <cell r="C141" t="str">
            <v>Baja</v>
          </cell>
          <cell r="D141" t="str">
            <v>Medio</v>
          </cell>
          <cell r="E141" t="str">
            <v>No</v>
          </cell>
          <cell r="F141" t="str">
            <v>6.   Evaluación de Riesgos TI</v>
          </cell>
          <cell r="G141" t="str">
            <v>No requiere</v>
          </cell>
        </row>
        <row r="142">
          <cell r="A142" t="str">
            <v>EmergenciaBajaMedioNo7.</v>
          </cell>
          <cell r="B142" t="str">
            <v>Emergencia</v>
          </cell>
          <cell r="C142" t="str">
            <v>Baja</v>
          </cell>
          <cell r="D142" t="str">
            <v>Medio</v>
          </cell>
          <cell r="E142" t="str">
            <v>No</v>
          </cell>
          <cell r="F142" t="str">
            <v>7.     Análisis de reportes financieros</v>
          </cell>
          <cell r="G142" t="str">
            <v>No requiere</v>
          </cell>
        </row>
        <row r="143">
          <cell r="A143" t="str">
            <v>EmergenciaBajaMedioNo8.</v>
          </cell>
          <cell r="B143" t="str">
            <v>Emergencia</v>
          </cell>
          <cell r="C143" t="str">
            <v>Baja</v>
          </cell>
          <cell r="D143" t="str">
            <v>Medio</v>
          </cell>
          <cell r="E143" t="str">
            <v>No</v>
          </cell>
          <cell r="F143" t="str">
            <v>8.     Garantizar soporte Estándar</v>
          </cell>
          <cell r="G143" t="str">
            <v>Requiere</v>
          </cell>
        </row>
        <row r="144">
          <cell r="A144" t="str">
            <v>EmergenciaBajaMedioNo9.</v>
          </cell>
          <cell r="B144" t="str">
            <v>Emergencia</v>
          </cell>
          <cell r="C144" t="str">
            <v>Baja</v>
          </cell>
          <cell r="D144" t="str">
            <v>Medio</v>
          </cell>
          <cell r="E144" t="str">
            <v>No</v>
          </cell>
          <cell r="F144" t="str">
            <v xml:space="preserve">9.     Ofrecer Soporte físico </v>
          </cell>
          <cell r="G144" t="str">
            <v>No requiere</v>
          </cell>
        </row>
        <row r="145">
          <cell r="A145" t="str">
            <v>EmergenciaBajaMedioSi1.</v>
          </cell>
          <cell r="B145" t="str">
            <v>Emergencia</v>
          </cell>
          <cell r="C145" t="str">
            <v>Baja</v>
          </cell>
          <cell r="D145" t="str">
            <v>Medio</v>
          </cell>
          <cell r="E145" t="str">
            <v>Si</v>
          </cell>
          <cell r="F145" t="str">
            <v xml:space="preserve">1.     Documentación requerida estándar </v>
          </cell>
          <cell r="G145" t="str">
            <v>No requiere</v>
          </cell>
        </row>
        <row r="146">
          <cell r="A146" t="str">
            <v>EmergenciaBajaMedioSi10</v>
          </cell>
          <cell r="B146" t="str">
            <v>Emergencia</v>
          </cell>
          <cell r="C146" t="str">
            <v>Baja</v>
          </cell>
          <cell r="D146" t="str">
            <v>Medio</v>
          </cell>
          <cell r="E146" t="str">
            <v>Si</v>
          </cell>
          <cell r="F146" t="str">
            <v xml:space="preserve">10.     Ofrecer Soporte remoto </v>
          </cell>
          <cell r="G146" t="str">
            <v>Requiere</v>
          </cell>
        </row>
        <row r="147">
          <cell r="A147" t="str">
            <v>EmergenciaBajaMedioSi11</v>
          </cell>
          <cell r="B147" t="str">
            <v>Emergencia</v>
          </cell>
          <cell r="C147" t="str">
            <v>Baja</v>
          </cell>
          <cell r="D147" t="str">
            <v>Medio</v>
          </cell>
          <cell r="E147" t="str">
            <v>Si</v>
          </cell>
          <cell r="F147" t="str">
            <v>11.     Ofrecer Soporte de vida temprana (ELS)</v>
          </cell>
          <cell r="G147" t="str">
            <v>No requiere</v>
          </cell>
        </row>
        <row r="148">
          <cell r="A148" t="str">
            <v>EmergenciaBajaMedioSi12</v>
          </cell>
          <cell r="B148" t="str">
            <v>Emergencia</v>
          </cell>
          <cell r="C148" t="str">
            <v>Baja</v>
          </cell>
          <cell r="D148" t="str">
            <v>Medio</v>
          </cell>
          <cell r="E148" t="str">
            <v>Si</v>
          </cell>
          <cell r="F148" t="str">
            <v xml:space="preserve">12.     Realizar validación y confirmación funcional </v>
          </cell>
          <cell r="G148" t="str">
            <v>Requiere</v>
          </cell>
        </row>
        <row r="149">
          <cell r="A149" t="str">
            <v>EmergenciaBajaMedioSi13</v>
          </cell>
          <cell r="B149" t="str">
            <v>Emergencia</v>
          </cell>
          <cell r="C149" t="str">
            <v>Baja</v>
          </cell>
          <cell r="D149" t="str">
            <v>Medio</v>
          </cell>
          <cell r="E149" t="str">
            <v>Si</v>
          </cell>
          <cell r="F149" t="str">
            <v>13.   Realizar validación y confirmación técnica</v>
          </cell>
          <cell r="G149" t="str">
            <v>Requiere</v>
          </cell>
        </row>
        <row r="150">
          <cell r="A150" t="str">
            <v>EmergenciaBajaMedioSi14</v>
          </cell>
          <cell r="B150" t="str">
            <v>Emergencia</v>
          </cell>
          <cell r="C150" t="str">
            <v>Baja</v>
          </cell>
          <cell r="D150" t="str">
            <v>Medio</v>
          </cell>
          <cell r="E150" t="str">
            <v>Si</v>
          </cell>
          <cell r="F150" t="str">
            <v>14.   Validación de Performance pre y post cambio</v>
          </cell>
          <cell r="G150" t="str">
            <v>No requiere</v>
          </cell>
        </row>
        <row r="151">
          <cell r="A151" t="str">
            <v>EmergenciaBajaMedioSi2.</v>
          </cell>
          <cell r="B151" t="str">
            <v>Emergencia</v>
          </cell>
          <cell r="C151" t="str">
            <v>Baja</v>
          </cell>
          <cell r="D151" t="str">
            <v>Medio</v>
          </cell>
          <cell r="E151" t="str">
            <v>Si</v>
          </cell>
          <cell r="F151" t="str">
            <v>2.     Checklist Certificado</v>
          </cell>
          <cell r="G151" t="str">
            <v>No requiere</v>
          </cell>
        </row>
        <row r="152">
          <cell r="A152" t="str">
            <v>EmergenciaBajaMedioSi3.</v>
          </cell>
          <cell r="B152" t="str">
            <v>Emergencia</v>
          </cell>
          <cell r="C152" t="str">
            <v>Baja</v>
          </cell>
          <cell r="D152" t="str">
            <v>Medio</v>
          </cell>
          <cell r="E152" t="str">
            <v>Si</v>
          </cell>
          <cell r="F152" t="str">
            <v>3.     Rollback Certificado en ambiente previo</v>
          </cell>
          <cell r="G152" t="str">
            <v>No requiere</v>
          </cell>
        </row>
        <row r="153">
          <cell r="A153" t="str">
            <v>EmergenciaBajaMedioSi4.</v>
          </cell>
          <cell r="B153" t="str">
            <v>Emergencia</v>
          </cell>
          <cell r="C153" t="str">
            <v>Baja</v>
          </cell>
          <cell r="D153" t="str">
            <v>Medio</v>
          </cell>
          <cell r="E153" t="str">
            <v>Si</v>
          </cell>
          <cell r="F153" t="str">
            <v xml:space="preserve">4.     Confirmación de ejecución/funcionamiento correcto en Ambiente Previo </v>
          </cell>
          <cell r="G153" t="str">
            <v>Requiere</v>
          </cell>
        </row>
        <row r="154">
          <cell r="A154" t="str">
            <v>EmergenciaAltaBajoSi12</v>
          </cell>
          <cell r="B154" t="str">
            <v>Emergencia</v>
          </cell>
          <cell r="C154" t="str">
            <v>Baja</v>
          </cell>
          <cell r="D154" t="str">
            <v>Medio</v>
          </cell>
          <cell r="E154" t="str">
            <v>Si</v>
          </cell>
          <cell r="F154" t="str">
            <v>6.   Evaluación de Riesgos TI</v>
          </cell>
          <cell r="G154" t="str">
            <v>No requiere</v>
          </cell>
        </row>
        <row r="155">
          <cell r="A155" t="str">
            <v>EmergenciaBajaMedioSi7.</v>
          </cell>
          <cell r="B155" t="str">
            <v>Emergencia</v>
          </cell>
          <cell r="C155" t="str">
            <v>Baja</v>
          </cell>
          <cell r="D155" t="str">
            <v>Medio</v>
          </cell>
          <cell r="E155" t="str">
            <v>Si</v>
          </cell>
          <cell r="F155" t="str">
            <v>7.     Análisis de reportes financieros</v>
          </cell>
          <cell r="G155" t="str">
            <v>No requiere</v>
          </cell>
        </row>
        <row r="156">
          <cell r="A156" t="str">
            <v>EmergenciaBajaMedioSi8.</v>
          </cell>
          <cell r="B156" t="str">
            <v>Emergencia</v>
          </cell>
          <cell r="C156" t="str">
            <v>Baja</v>
          </cell>
          <cell r="D156" t="str">
            <v>Medio</v>
          </cell>
          <cell r="E156" t="str">
            <v>Si</v>
          </cell>
          <cell r="F156" t="str">
            <v>8.     Garantizar soporte Estándar</v>
          </cell>
          <cell r="G156" t="str">
            <v>Requiere</v>
          </cell>
        </row>
        <row r="157">
          <cell r="A157" t="str">
            <v>EmergenciaBajaMedioSi9.</v>
          </cell>
          <cell r="B157" t="str">
            <v>Emergencia</v>
          </cell>
          <cell r="C157" t="str">
            <v>Baja</v>
          </cell>
          <cell r="D157" t="str">
            <v>Medio</v>
          </cell>
          <cell r="E157" t="str">
            <v>Si</v>
          </cell>
          <cell r="F157" t="str">
            <v xml:space="preserve">9.     Ofrecer Soporte físico </v>
          </cell>
          <cell r="G157" t="str">
            <v>No requiere</v>
          </cell>
        </row>
        <row r="158">
          <cell r="A158" t="str">
            <v>EmergenciaMediaAltoNo1.</v>
          </cell>
          <cell r="B158" t="str">
            <v>Emergencia</v>
          </cell>
          <cell r="C158" t="str">
            <v>Media</v>
          </cell>
          <cell r="D158" t="str">
            <v>Alto</v>
          </cell>
          <cell r="E158" t="str">
            <v>No</v>
          </cell>
          <cell r="F158" t="str">
            <v xml:space="preserve">1.     Documentación requerida estándar </v>
          </cell>
          <cell r="G158" t="str">
            <v>No requiere</v>
          </cell>
        </row>
        <row r="159">
          <cell r="A159" t="str">
            <v>EmergenciaMediaAltoNo10</v>
          </cell>
          <cell r="B159" t="str">
            <v>Emergencia</v>
          </cell>
          <cell r="C159" t="str">
            <v>Media</v>
          </cell>
          <cell r="D159" t="str">
            <v>Alto</v>
          </cell>
          <cell r="E159" t="str">
            <v>No</v>
          </cell>
          <cell r="F159" t="str">
            <v xml:space="preserve">10.     Ofrecer Soporte remoto </v>
          </cell>
          <cell r="G159" t="str">
            <v>No requiere</v>
          </cell>
        </row>
        <row r="160">
          <cell r="A160" t="str">
            <v>EmergenciaMediaAltoNo11</v>
          </cell>
          <cell r="B160" t="str">
            <v>Emergencia</v>
          </cell>
          <cell r="C160" t="str">
            <v>Media</v>
          </cell>
          <cell r="D160" t="str">
            <v>Alto</v>
          </cell>
          <cell r="E160" t="str">
            <v>No</v>
          </cell>
          <cell r="F160" t="str">
            <v>11.     Ofrecer Soporte de vida temprana (ELS)</v>
          </cell>
          <cell r="G160" t="str">
            <v>No requiere</v>
          </cell>
        </row>
        <row r="161">
          <cell r="A161" t="str">
            <v>EmergenciaMediaAltoNo12</v>
          </cell>
          <cell r="B161" t="str">
            <v>Emergencia</v>
          </cell>
          <cell r="C161" t="str">
            <v>Media</v>
          </cell>
          <cell r="D161" t="str">
            <v>Alto</v>
          </cell>
          <cell r="E161" t="str">
            <v>No</v>
          </cell>
          <cell r="F161" t="str">
            <v xml:space="preserve">12.     Realizar validación y confirmación funcional </v>
          </cell>
          <cell r="G161" t="str">
            <v>Requiere</v>
          </cell>
        </row>
        <row r="162">
          <cell r="A162" t="str">
            <v>EmergenciaMediaAltoNo13</v>
          </cell>
          <cell r="B162" t="str">
            <v>Emergencia</v>
          </cell>
          <cell r="C162" t="str">
            <v>Media</v>
          </cell>
          <cell r="D162" t="str">
            <v>Alto</v>
          </cell>
          <cell r="E162" t="str">
            <v>No</v>
          </cell>
          <cell r="F162" t="str">
            <v>13.   Realizar validación y confirmación técnica</v>
          </cell>
          <cell r="G162" t="str">
            <v>Requiere</v>
          </cell>
        </row>
        <row r="163">
          <cell r="A163" t="str">
            <v>EmergenciaMediaAltoNo14</v>
          </cell>
          <cell r="B163" t="str">
            <v>Emergencia</v>
          </cell>
          <cell r="C163" t="str">
            <v>Media</v>
          </cell>
          <cell r="D163" t="str">
            <v>Alto</v>
          </cell>
          <cell r="E163" t="str">
            <v>No</v>
          </cell>
          <cell r="F163" t="str">
            <v>14.   Validación de Performance pre y post cambio</v>
          </cell>
          <cell r="G163" t="str">
            <v>No requiere</v>
          </cell>
        </row>
        <row r="164">
          <cell r="A164" t="str">
            <v>EmergenciaMediaAltoNo2.</v>
          </cell>
          <cell r="B164" t="str">
            <v>Emergencia</v>
          </cell>
          <cell r="C164" t="str">
            <v>Media</v>
          </cell>
          <cell r="D164" t="str">
            <v>Alto</v>
          </cell>
          <cell r="E164" t="str">
            <v>No</v>
          </cell>
          <cell r="F164" t="str">
            <v>2.     Checklist Certificado</v>
          </cell>
          <cell r="G164" t="str">
            <v>No requiere</v>
          </cell>
        </row>
        <row r="165">
          <cell r="A165" t="str">
            <v>EmergenciaMediaAltoNo3.</v>
          </cell>
          <cell r="B165" t="str">
            <v>Emergencia</v>
          </cell>
          <cell r="C165" t="str">
            <v>Media</v>
          </cell>
          <cell r="D165" t="str">
            <v>Alto</v>
          </cell>
          <cell r="E165" t="str">
            <v>No</v>
          </cell>
          <cell r="F165" t="str">
            <v>3.     Rollback Certificado en ambiente previo</v>
          </cell>
          <cell r="G165" t="str">
            <v>No requiere</v>
          </cell>
        </row>
        <row r="166">
          <cell r="A166" t="str">
            <v>EmergenciaMediaAltoNo4.</v>
          </cell>
          <cell r="B166" t="str">
            <v>Emergencia</v>
          </cell>
          <cell r="C166" t="str">
            <v>Media</v>
          </cell>
          <cell r="D166" t="str">
            <v>Alto</v>
          </cell>
          <cell r="E166" t="str">
            <v>No</v>
          </cell>
          <cell r="F166" t="str">
            <v xml:space="preserve">4.     Confirmación de ejecución/funcionamiento correcto en Ambiente Previo </v>
          </cell>
          <cell r="G166" t="str">
            <v>No requiere</v>
          </cell>
        </row>
        <row r="167">
          <cell r="A167" t="str">
            <v>EmergenciaMediaAltoNo6.</v>
          </cell>
          <cell r="B167" t="str">
            <v>Emergencia</v>
          </cell>
          <cell r="C167" t="str">
            <v>Media</v>
          </cell>
          <cell r="D167" t="str">
            <v>Alto</v>
          </cell>
          <cell r="E167" t="str">
            <v>No</v>
          </cell>
          <cell r="F167" t="str">
            <v>6.   Evaluación de Riesgos TI</v>
          </cell>
          <cell r="G167" t="str">
            <v>Requiere</v>
          </cell>
        </row>
        <row r="168">
          <cell r="A168" t="str">
            <v>EmergenciaMediaAltoNo7.</v>
          </cell>
          <cell r="B168" t="str">
            <v>Emergencia</v>
          </cell>
          <cell r="C168" t="str">
            <v>Media</v>
          </cell>
          <cell r="D168" t="str">
            <v>Alto</v>
          </cell>
          <cell r="E168" t="str">
            <v>No</v>
          </cell>
          <cell r="F168" t="str">
            <v>7.     Análisis de reportes financieros</v>
          </cell>
          <cell r="G168" t="str">
            <v>No requiere</v>
          </cell>
        </row>
        <row r="169">
          <cell r="A169" t="str">
            <v>EmergenciaMediaAltoNo8.</v>
          </cell>
          <cell r="B169" t="str">
            <v>Emergencia</v>
          </cell>
          <cell r="C169" t="str">
            <v>Media</v>
          </cell>
          <cell r="D169" t="str">
            <v>Alto</v>
          </cell>
          <cell r="E169" t="str">
            <v>No</v>
          </cell>
          <cell r="F169" t="str">
            <v>8.     Garantizar soporte Estándar</v>
          </cell>
          <cell r="G169" t="str">
            <v>Requiere</v>
          </cell>
        </row>
        <row r="170">
          <cell r="A170" t="str">
            <v>EmergenciaMediaAltoNo9.</v>
          </cell>
          <cell r="B170" t="str">
            <v>Emergencia</v>
          </cell>
          <cell r="C170" t="str">
            <v>Media</v>
          </cell>
          <cell r="D170" t="str">
            <v>Alto</v>
          </cell>
          <cell r="E170" t="str">
            <v>No</v>
          </cell>
          <cell r="F170" t="str">
            <v xml:space="preserve">9.     Ofrecer Soporte físico </v>
          </cell>
          <cell r="G170" t="str">
            <v>Requiere</v>
          </cell>
        </row>
        <row r="171">
          <cell r="A171" t="str">
            <v>EmergenciaMediaAltoSi1.</v>
          </cell>
          <cell r="B171" t="str">
            <v>Emergencia</v>
          </cell>
          <cell r="C171" t="str">
            <v>Media</v>
          </cell>
          <cell r="D171" t="str">
            <v>Alto</v>
          </cell>
          <cell r="E171" t="str">
            <v>Si</v>
          </cell>
          <cell r="F171" t="str">
            <v xml:space="preserve">1.     Documentación requerida estándar </v>
          </cell>
          <cell r="G171" t="str">
            <v>No requiere</v>
          </cell>
        </row>
        <row r="172">
          <cell r="A172" t="str">
            <v>EmergenciaMediaAltoSi10</v>
          </cell>
          <cell r="B172" t="str">
            <v>Emergencia</v>
          </cell>
          <cell r="C172" t="str">
            <v>Media</v>
          </cell>
          <cell r="D172" t="str">
            <v>Alto</v>
          </cell>
          <cell r="E172" t="str">
            <v>Si</v>
          </cell>
          <cell r="F172" t="str">
            <v xml:space="preserve">10.     Ofrecer Soporte remoto </v>
          </cell>
          <cell r="G172" t="str">
            <v>No requiere</v>
          </cell>
        </row>
        <row r="173">
          <cell r="A173" t="str">
            <v>EmergenciaMediaAltoSi11</v>
          </cell>
          <cell r="B173" t="str">
            <v>Emergencia</v>
          </cell>
          <cell r="C173" t="str">
            <v>Media</v>
          </cell>
          <cell r="D173" t="str">
            <v>Alto</v>
          </cell>
          <cell r="E173" t="str">
            <v>Si</v>
          </cell>
          <cell r="F173" t="str">
            <v>11.     Ofrecer Soporte de vida temprana (ELS)</v>
          </cell>
          <cell r="G173" t="str">
            <v>Requiere</v>
          </cell>
        </row>
        <row r="174">
          <cell r="A174" t="str">
            <v>EmergenciaMediaAltoSi12</v>
          </cell>
          <cell r="B174" t="str">
            <v>Emergencia</v>
          </cell>
          <cell r="C174" t="str">
            <v>Media</v>
          </cell>
          <cell r="D174" t="str">
            <v>Alto</v>
          </cell>
          <cell r="E174" t="str">
            <v>Si</v>
          </cell>
          <cell r="F174" t="str">
            <v xml:space="preserve">12.     Realizar validación y confirmación funcional </v>
          </cell>
          <cell r="G174" t="str">
            <v>Requiere</v>
          </cell>
        </row>
        <row r="175">
          <cell r="A175" t="str">
            <v>EmergenciaMediaAltoSi13</v>
          </cell>
          <cell r="B175" t="str">
            <v>Emergencia</v>
          </cell>
          <cell r="C175" t="str">
            <v>Media</v>
          </cell>
          <cell r="D175" t="str">
            <v>Alto</v>
          </cell>
          <cell r="E175" t="str">
            <v>Si</v>
          </cell>
          <cell r="F175" t="str">
            <v>13.   Realizar validación y confirmación técnica</v>
          </cell>
          <cell r="G175" t="str">
            <v>Requiere</v>
          </cell>
        </row>
        <row r="176">
          <cell r="A176" t="str">
            <v>EmergenciaMediaAltoSi14</v>
          </cell>
          <cell r="B176" t="str">
            <v>Emergencia</v>
          </cell>
          <cell r="C176" t="str">
            <v>Media</v>
          </cell>
          <cell r="D176" t="str">
            <v>Alto</v>
          </cell>
          <cell r="E176" t="str">
            <v>Si</v>
          </cell>
          <cell r="F176" t="str">
            <v>14.   Validación de Performance pre y post cambio</v>
          </cell>
          <cell r="G176" t="str">
            <v>No requiere</v>
          </cell>
        </row>
        <row r="177">
          <cell r="A177" t="str">
            <v>EmergenciaMediaAltoSi2.</v>
          </cell>
          <cell r="B177" t="str">
            <v>Emergencia</v>
          </cell>
          <cell r="C177" t="str">
            <v>Media</v>
          </cell>
          <cell r="D177" t="str">
            <v>Alto</v>
          </cell>
          <cell r="E177" t="str">
            <v>Si</v>
          </cell>
          <cell r="F177" t="str">
            <v>2.     Checklist Certificado</v>
          </cell>
          <cell r="G177" t="str">
            <v>No requiere</v>
          </cell>
        </row>
        <row r="178">
          <cell r="A178" t="str">
            <v>EmergenciaMediaAltoSi3.</v>
          </cell>
          <cell r="B178" t="str">
            <v>Emergencia</v>
          </cell>
          <cell r="C178" t="str">
            <v>Media</v>
          </cell>
          <cell r="D178" t="str">
            <v>Alto</v>
          </cell>
          <cell r="E178" t="str">
            <v>Si</v>
          </cell>
          <cell r="F178" t="str">
            <v>3.     Rollback Certificado en ambiente previo</v>
          </cell>
          <cell r="G178" t="str">
            <v>No requiere</v>
          </cell>
        </row>
        <row r="179">
          <cell r="A179" t="str">
            <v>EmergenciaMediaAltoSi4.</v>
          </cell>
          <cell r="B179" t="str">
            <v>Emergencia</v>
          </cell>
          <cell r="C179" t="str">
            <v>Media</v>
          </cell>
          <cell r="D179" t="str">
            <v>Alto</v>
          </cell>
          <cell r="E179" t="str">
            <v>Si</v>
          </cell>
          <cell r="F179" t="str">
            <v xml:space="preserve">4.     Confirmación de ejecución/funcionamiento correcto en Ambiente Previo </v>
          </cell>
          <cell r="G179" t="str">
            <v>Requiere</v>
          </cell>
        </row>
        <row r="180">
          <cell r="A180" t="str">
            <v>EmergenciaMediaAltoSi6.</v>
          </cell>
          <cell r="B180" t="str">
            <v>Emergencia</v>
          </cell>
          <cell r="C180" t="str">
            <v>Media</v>
          </cell>
          <cell r="D180" t="str">
            <v>Alto</v>
          </cell>
          <cell r="E180" t="str">
            <v>Si</v>
          </cell>
          <cell r="F180" t="str">
            <v>6.   Evaluación de Riesgos TI</v>
          </cell>
          <cell r="G180" t="str">
            <v>Requiere</v>
          </cell>
        </row>
        <row r="181">
          <cell r="A181" t="str">
            <v>EmergenciaMediaAltoSi7.</v>
          </cell>
          <cell r="B181" t="str">
            <v>Emergencia</v>
          </cell>
          <cell r="C181" t="str">
            <v>Media</v>
          </cell>
          <cell r="D181" t="str">
            <v>Alto</v>
          </cell>
          <cell r="E181" t="str">
            <v>Si</v>
          </cell>
          <cell r="F181" t="str">
            <v>7.     Análisis de reportes financieros</v>
          </cell>
          <cell r="G181" t="str">
            <v>No requiere</v>
          </cell>
        </row>
        <row r="182">
          <cell r="A182" t="str">
            <v>EmergenciaMediaAltoSi8.</v>
          </cell>
          <cell r="B182" t="str">
            <v>Emergencia</v>
          </cell>
          <cell r="C182" t="str">
            <v>Media</v>
          </cell>
          <cell r="D182" t="str">
            <v>Alto</v>
          </cell>
          <cell r="E182" t="str">
            <v>Si</v>
          </cell>
          <cell r="F182" t="str">
            <v>8.     Garantizar soporte Estándar</v>
          </cell>
          <cell r="G182" t="str">
            <v>Requiere</v>
          </cell>
        </row>
        <row r="183">
          <cell r="A183" t="str">
            <v>EmergenciaMediaAltoSi9.</v>
          </cell>
          <cell r="B183" t="str">
            <v>Emergencia</v>
          </cell>
          <cell r="C183" t="str">
            <v>Media</v>
          </cell>
          <cell r="D183" t="str">
            <v>Alto</v>
          </cell>
          <cell r="E183" t="str">
            <v>Si</v>
          </cell>
          <cell r="F183" t="str">
            <v xml:space="preserve">9.     Ofrecer Soporte físico </v>
          </cell>
          <cell r="G183" t="str">
            <v>Requiere</v>
          </cell>
        </row>
        <row r="184">
          <cell r="A184" t="str">
            <v>EmergenciaMediaBajoNo1.</v>
          </cell>
          <cell r="B184" t="str">
            <v>Emergencia</v>
          </cell>
          <cell r="C184" t="str">
            <v>Media</v>
          </cell>
          <cell r="D184" t="str">
            <v>Bajo</v>
          </cell>
          <cell r="E184" t="str">
            <v>No</v>
          </cell>
          <cell r="F184" t="str">
            <v xml:space="preserve">1.     Documentación requerida estándar </v>
          </cell>
          <cell r="G184" t="str">
            <v>No requiere</v>
          </cell>
        </row>
        <row r="185">
          <cell r="A185" t="str">
            <v>EmergenciaMediaBajoNo10</v>
          </cell>
          <cell r="B185" t="str">
            <v>Emergencia</v>
          </cell>
          <cell r="C185" t="str">
            <v>Media</v>
          </cell>
          <cell r="D185" t="str">
            <v>Bajo</v>
          </cell>
          <cell r="E185" t="str">
            <v>No</v>
          </cell>
          <cell r="F185" t="str">
            <v xml:space="preserve">10.     Ofrecer Soporte remoto </v>
          </cell>
          <cell r="G185" t="str">
            <v>Requiere</v>
          </cell>
        </row>
        <row r="186">
          <cell r="A186" t="str">
            <v>EmergenciaMediaBajoNo11</v>
          </cell>
          <cell r="B186" t="str">
            <v>Emergencia</v>
          </cell>
          <cell r="C186" t="str">
            <v>Media</v>
          </cell>
          <cell r="D186" t="str">
            <v>Bajo</v>
          </cell>
          <cell r="E186" t="str">
            <v>No</v>
          </cell>
          <cell r="F186" t="str">
            <v>11.     Ofrecer Soporte de vida temprana (ELS)</v>
          </cell>
          <cell r="G186" t="str">
            <v>Requiere</v>
          </cell>
        </row>
        <row r="187">
          <cell r="A187" t="str">
            <v>EmergenciaMediaBajoNo12</v>
          </cell>
          <cell r="B187" t="str">
            <v>Emergencia</v>
          </cell>
          <cell r="C187" t="str">
            <v>Media</v>
          </cell>
          <cell r="D187" t="str">
            <v>Bajo</v>
          </cell>
          <cell r="E187" t="str">
            <v>No</v>
          </cell>
          <cell r="F187" t="str">
            <v xml:space="preserve">12.     Realizar validación y confirmación funcional </v>
          </cell>
          <cell r="G187" t="str">
            <v>Requiere</v>
          </cell>
        </row>
        <row r="188">
          <cell r="A188" t="str">
            <v>EmergenciaMediaBajoNo13</v>
          </cell>
          <cell r="B188" t="str">
            <v>Emergencia</v>
          </cell>
          <cell r="C188" t="str">
            <v>Media</v>
          </cell>
          <cell r="D188" t="str">
            <v>Bajo</v>
          </cell>
          <cell r="E188" t="str">
            <v>No</v>
          </cell>
          <cell r="F188" t="str">
            <v>13.   Realizar validación y confirmación técnica</v>
          </cell>
          <cell r="G188" t="str">
            <v>Requiere</v>
          </cell>
        </row>
        <row r="189">
          <cell r="A189" t="str">
            <v>EmergenciaMediaBajoNo14</v>
          </cell>
          <cell r="B189" t="str">
            <v>Emergencia</v>
          </cell>
          <cell r="C189" t="str">
            <v>Media</v>
          </cell>
          <cell r="D189" t="str">
            <v>Bajo</v>
          </cell>
          <cell r="E189" t="str">
            <v>No</v>
          </cell>
          <cell r="F189" t="str">
            <v>14.   Validación de Performance pre y post cambio</v>
          </cell>
          <cell r="G189" t="str">
            <v>No requiere</v>
          </cell>
        </row>
        <row r="190">
          <cell r="A190" t="str">
            <v>EmergenciaMediaBajoNo2.</v>
          </cell>
          <cell r="B190" t="str">
            <v>Emergencia</v>
          </cell>
          <cell r="C190" t="str">
            <v>Media</v>
          </cell>
          <cell r="D190" t="str">
            <v>Bajo</v>
          </cell>
          <cell r="E190" t="str">
            <v>No</v>
          </cell>
          <cell r="F190" t="str">
            <v>2.     Checklist Certificado</v>
          </cell>
          <cell r="G190" t="str">
            <v>No requiere</v>
          </cell>
        </row>
        <row r="191">
          <cell r="A191" t="str">
            <v>EmergenciaMediaBajoNo3.</v>
          </cell>
          <cell r="B191" t="str">
            <v>Emergencia</v>
          </cell>
          <cell r="C191" t="str">
            <v>Media</v>
          </cell>
          <cell r="D191" t="str">
            <v>Bajo</v>
          </cell>
          <cell r="E191" t="str">
            <v>No</v>
          </cell>
          <cell r="F191" t="str">
            <v>3.     Rollback Certificado en ambiente previo</v>
          </cell>
          <cell r="G191" t="str">
            <v>No requiere</v>
          </cell>
        </row>
        <row r="192">
          <cell r="A192" t="str">
            <v>EmergenciaMediaBajoNo4.</v>
          </cell>
          <cell r="B192" t="str">
            <v>Emergencia</v>
          </cell>
          <cell r="C192" t="str">
            <v>Media</v>
          </cell>
          <cell r="D192" t="str">
            <v>Bajo</v>
          </cell>
          <cell r="E192" t="str">
            <v>No</v>
          </cell>
          <cell r="F192" t="str">
            <v xml:space="preserve">4.     Confirmación de ejecución/funcionamiento correcto en Ambiente Previo </v>
          </cell>
          <cell r="G192" t="str">
            <v>No requiere</v>
          </cell>
        </row>
        <row r="193">
          <cell r="A193" t="str">
            <v>EmergenciaMediaMedioNo12</v>
          </cell>
          <cell r="B193" t="str">
            <v>Emergencia</v>
          </cell>
          <cell r="C193" t="str">
            <v>Media</v>
          </cell>
          <cell r="D193" t="str">
            <v>Bajo</v>
          </cell>
          <cell r="E193" t="str">
            <v>No</v>
          </cell>
          <cell r="F193" t="str">
            <v>6.   Evaluación de Riesgos TI</v>
          </cell>
          <cell r="G193" t="str">
            <v>No requiere</v>
          </cell>
        </row>
        <row r="194">
          <cell r="A194" t="str">
            <v>EmergenciaMediaBajoNo7.</v>
          </cell>
          <cell r="B194" t="str">
            <v>Emergencia</v>
          </cell>
          <cell r="C194" t="str">
            <v>Media</v>
          </cell>
          <cell r="D194" t="str">
            <v>Bajo</v>
          </cell>
          <cell r="E194" t="str">
            <v>No</v>
          </cell>
          <cell r="F194" t="str">
            <v>7.     Análisis de reportes financieros</v>
          </cell>
          <cell r="G194" t="str">
            <v>No requiere</v>
          </cell>
        </row>
        <row r="195">
          <cell r="A195" t="str">
            <v>EmergenciaMediaBajoNo8.</v>
          </cell>
          <cell r="B195" t="str">
            <v>Emergencia</v>
          </cell>
          <cell r="C195" t="str">
            <v>Media</v>
          </cell>
          <cell r="D195" t="str">
            <v>Bajo</v>
          </cell>
          <cell r="E195" t="str">
            <v>No</v>
          </cell>
          <cell r="F195" t="str">
            <v>8.     Garantizar soporte Estándar</v>
          </cell>
          <cell r="G195" t="str">
            <v>Requiere</v>
          </cell>
        </row>
        <row r="196">
          <cell r="A196" t="str">
            <v>EmergenciaMediaBajoNo9.</v>
          </cell>
          <cell r="B196" t="str">
            <v>Emergencia</v>
          </cell>
          <cell r="C196" t="str">
            <v>Media</v>
          </cell>
          <cell r="D196" t="str">
            <v>Bajo</v>
          </cell>
          <cell r="E196" t="str">
            <v>No</v>
          </cell>
          <cell r="F196" t="str">
            <v xml:space="preserve">9.     Ofrecer Soporte físico </v>
          </cell>
          <cell r="G196" t="str">
            <v>No requiere</v>
          </cell>
        </row>
        <row r="197">
          <cell r="A197" t="str">
            <v>EmergenciaMediaBajoSi1.</v>
          </cell>
          <cell r="B197" t="str">
            <v>Emergencia</v>
          </cell>
          <cell r="C197" t="str">
            <v>Media</v>
          </cell>
          <cell r="D197" t="str">
            <v>Bajo</v>
          </cell>
          <cell r="E197" t="str">
            <v>Si</v>
          </cell>
          <cell r="F197" t="str">
            <v xml:space="preserve">1.     Documentación requerida estándar </v>
          </cell>
          <cell r="G197" t="str">
            <v>No requiere</v>
          </cell>
        </row>
        <row r="198">
          <cell r="A198" t="str">
            <v>EmergenciaMediaBajoSi10</v>
          </cell>
          <cell r="B198" t="str">
            <v>Emergencia</v>
          </cell>
          <cell r="C198" t="str">
            <v>Media</v>
          </cell>
          <cell r="D198" t="str">
            <v>Bajo</v>
          </cell>
          <cell r="E198" t="str">
            <v>Si</v>
          </cell>
          <cell r="F198" t="str">
            <v xml:space="preserve">10.     Ofrecer Soporte remoto </v>
          </cell>
          <cell r="G198" t="str">
            <v>Requiere</v>
          </cell>
        </row>
        <row r="199">
          <cell r="A199" t="str">
            <v>EmergenciaMediaBajoSi11</v>
          </cell>
          <cell r="B199" t="str">
            <v>Emergencia</v>
          </cell>
          <cell r="C199" t="str">
            <v>Media</v>
          </cell>
          <cell r="D199" t="str">
            <v>Bajo</v>
          </cell>
          <cell r="E199" t="str">
            <v>Si</v>
          </cell>
          <cell r="F199" t="str">
            <v>11.     Ofrecer Soporte de vida temprana (ELS)</v>
          </cell>
          <cell r="G199" t="str">
            <v>No requiere</v>
          </cell>
        </row>
        <row r="200">
          <cell r="A200" t="str">
            <v>EmergenciaMediaBajoSi12</v>
          </cell>
          <cell r="B200" t="str">
            <v>Emergencia</v>
          </cell>
          <cell r="C200" t="str">
            <v>Media</v>
          </cell>
          <cell r="D200" t="str">
            <v>Bajo</v>
          </cell>
          <cell r="E200" t="str">
            <v>Si</v>
          </cell>
          <cell r="F200" t="str">
            <v xml:space="preserve">12.     Realizar validación y confirmación funcional </v>
          </cell>
          <cell r="G200" t="str">
            <v>Requiere</v>
          </cell>
        </row>
        <row r="201">
          <cell r="A201" t="str">
            <v>EmergenciaMediaBajoSi13</v>
          </cell>
          <cell r="B201" t="str">
            <v>Emergencia</v>
          </cell>
          <cell r="C201" t="str">
            <v>Media</v>
          </cell>
          <cell r="D201" t="str">
            <v>Bajo</v>
          </cell>
          <cell r="E201" t="str">
            <v>Si</v>
          </cell>
          <cell r="F201" t="str">
            <v>13.   Realizar validación y confirmación técnica</v>
          </cell>
          <cell r="G201" t="str">
            <v>Requiere</v>
          </cell>
        </row>
        <row r="202">
          <cell r="A202" t="str">
            <v>EmergenciaMediaBajoSi14</v>
          </cell>
          <cell r="B202" t="str">
            <v>Emergencia</v>
          </cell>
          <cell r="C202" t="str">
            <v>Media</v>
          </cell>
          <cell r="D202" t="str">
            <v>Bajo</v>
          </cell>
          <cell r="E202" t="str">
            <v>Si</v>
          </cell>
          <cell r="F202" t="str">
            <v>14.   Validación de Performance pre y post cambio</v>
          </cell>
          <cell r="G202" t="str">
            <v>No requiere</v>
          </cell>
        </row>
        <row r="203">
          <cell r="A203" t="str">
            <v>EmergenciaMediaBajoSi2.</v>
          </cell>
          <cell r="B203" t="str">
            <v>Emergencia</v>
          </cell>
          <cell r="C203" t="str">
            <v>Media</v>
          </cell>
          <cell r="D203" t="str">
            <v>Bajo</v>
          </cell>
          <cell r="E203" t="str">
            <v>Si</v>
          </cell>
          <cell r="F203" t="str">
            <v>2.     Checklist Certificado</v>
          </cell>
          <cell r="G203" t="str">
            <v>No requiere</v>
          </cell>
        </row>
        <row r="204">
          <cell r="A204" t="str">
            <v>EmergenciaMediaBajoSi3.</v>
          </cell>
          <cell r="B204" t="str">
            <v>Emergencia</v>
          </cell>
          <cell r="C204" t="str">
            <v>Media</v>
          </cell>
          <cell r="D204" t="str">
            <v>Bajo</v>
          </cell>
          <cell r="E204" t="str">
            <v>Si</v>
          </cell>
          <cell r="F204" t="str">
            <v>3.     Rollback Certificado en ambiente previo</v>
          </cell>
          <cell r="G204" t="str">
            <v>No requiere</v>
          </cell>
        </row>
        <row r="205">
          <cell r="A205" t="str">
            <v>EmergenciaMediaBajoSi4.</v>
          </cell>
          <cell r="B205" t="str">
            <v>Emergencia</v>
          </cell>
          <cell r="C205" t="str">
            <v>Media</v>
          </cell>
          <cell r="D205" t="str">
            <v>Bajo</v>
          </cell>
          <cell r="E205" t="str">
            <v>Si</v>
          </cell>
          <cell r="F205" t="str">
            <v xml:space="preserve">4.     Confirmación de ejecución/funcionamiento correcto en Ambiente Previo </v>
          </cell>
          <cell r="G205" t="str">
            <v>Requiere</v>
          </cell>
        </row>
        <row r="206">
          <cell r="A206" t="str">
            <v>EmergenciaBajaMedioSi12</v>
          </cell>
          <cell r="B206" t="str">
            <v>Emergencia</v>
          </cell>
          <cell r="C206" t="str">
            <v>Media</v>
          </cell>
          <cell r="D206" t="str">
            <v>Bajo</v>
          </cell>
          <cell r="E206" t="str">
            <v>Si</v>
          </cell>
          <cell r="F206" t="str">
            <v>6.   Evaluación de Riesgos TI</v>
          </cell>
          <cell r="G206" t="str">
            <v>No requiere</v>
          </cell>
        </row>
        <row r="207">
          <cell r="A207" t="str">
            <v>EmergenciaMediaBajoSi7.</v>
          </cell>
          <cell r="B207" t="str">
            <v>Emergencia</v>
          </cell>
          <cell r="C207" t="str">
            <v>Media</v>
          </cell>
          <cell r="D207" t="str">
            <v>Bajo</v>
          </cell>
          <cell r="E207" t="str">
            <v>Si</v>
          </cell>
          <cell r="F207" t="str">
            <v>7.     Análisis de reportes financieros</v>
          </cell>
          <cell r="G207" t="str">
            <v>No requiere</v>
          </cell>
        </row>
        <row r="208">
          <cell r="A208" t="str">
            <v>EmergenciaMediaBajoSi8.</v>
          </cell>
          <cell r="B208" t="str">
            <v>Emergencia</v>
          </cell>
          <cell r="C208" t="str">
            <v>Media</v>
          </cell>
          <cell r="D208" t="str">
            <v>Bajo</v>
          </cell>
          <cell r="E208" t="str">
            <v>Si</v>
          </cell>
          <cell r="F208" t="str">
            <v>8.     Garantizar soporte Estándar</v>
          </cell>
          <cell r="G208" t="str">
            <v>Requiere</v>
          </cell>
        </row>
        <row r="209">
          <cell r="A209" t="str">
            <v>EmergenciaMediaBajoSi9.</v>
          </cell>
          <cell r="B209" t="str">
            <v>Emergencia</v>
          </cell>
          <cell r="C209" t="str">
            <v>Media</v>
          </cell>
          <cell r="D209" t="str">
            <v>Bajo</v>
          </cell>
          <cell r="E209" t="str">
            <v>Si</v>
          </cell>
          <cell r="F209" t="str">
            <v xml:space="preserve">9.     Ofrecer Soporte físico </v>
          </cell>
          <cell r="G209" t="str">
            <v>No requiere</v>
          </cell>
        </row>
        <row r="210">
          <cell r="A210" t="str">
            <v>EmergenciaMediaMedioNo1.</v>
          </cell>
          <cell r="B210" t="str">
            <v>Emergencia</v>
          </cell>
          <cell r="C210" t="str">
            <v>Media</v>
          </cell>
          <cell r="D210" t="str">
            <v>Medio</v>
          </cell>
          <cell r="E210" t="str">
            <v>No</v>
          </cell>
          <cell r="F210" t="str">
            <v xml:space="preserve">1.     Documentación requerida estándar </v>
          </cell>
          <cell r="G210" t="str">
            <v>No requiere</v>
          </cell>
        </row>
        <row r="211">
          <cell r="A211" t="str">
            <v>EmergenciaMediaMedioNo10</v>
          </cell>
          <cell r="B211" t="str">
            <v>Emergencia</v>
          </cell>
          <cell r="C211" t="str">
            <v>Media</v>
          </cell>
          <cell r="D211" t="str">
            <v>Medio</v>
          </cell>
          <cell r="E211" t="str">
            <v>No</v>
          </cell>
          <cell r="F211" t="str">
            <v xml:space="preserve">10.     Ofrecer Soporte remoto </v>
          </cell>
          <cell r="G211" t="str">
            <v>Requiere</v>
          </cell>
        </row>
        <row r="212">
          <cell r="A212" t="str">
            <v>EmergenciaMediaMedioNo11</v>
          </cell>
          <cell r="B212" t="str">
            <v>Emergencia</v>
          </cell>
          <cell r="C212" t="str">
            <v>Media</v>
          </cell>
          <cell r="D212" t="str">
            <v>Medio</v>
          </cell>
          <cell r="E212" t="str">
            <v>No</v>
          </cell>
          <cell r="F212" t="str">
            <v>11.     Ofrecer Soporte de vida temprana (ELS)</v>
          </cell>
          <cell r="G212" t="str">
            <v>No requiere</v>
          </cell>
        </row>
        <row r="213">
          <cell r="A213" t="str">
            <v>EmergenciaMediaMedioNo12</v>
          </cell>
          <cell r="B213" t="str">
            <v>Emergencia</v>
          </cell>
          <cell r="C213" t="str">
            <v>Media</v>
          </cell>
          <cell r="D213" t="str">
            <v>Medio</v>
          </cell>
          <cell r="E213" t="str">
            <v>No</v>
          </cell>
          <cell r="F213" t="str">
            <v xml:space="preserve">12.     Realizar validación y confirmación funcional </v>
          </cell>
          <cell r="G213" t="str">
            <v>Requiere</v>
          </cell>
        </row>
        <row r="214">
          <cell r="A214" t="str">
            <v>EmergenciaMediaMedioNo13</v>
          </cell>
          <cell r="B214" t="str">
            <v>Emergencia</v>
          </cell>
          <cell r="C214" t="str">
            <v>Media</v>
          </cell>
          <cell r="D214" t="str">
            <v>Medio</v>
          </cell>
          <cell r="E214" t="str">
            <v>No</v>
          </cell>
          <cell r="F214" t="str">
            <v>13.   Realizar validación y confirmación técnica</v>
          </cell>
          <cell r="G214" t="str">
            <v>Requiere</v>
          </cell>
        </row>
        <row r="215">
          <cell r="A215" t="str">
            <v>EmergenciaMediaMedioNo14</v>
          </cell>
          <cell r="B215" t="str">
            <v>Emergencia</v>
          </cell>
          <cell r="C215" t="str">
            <v>Media</v>
          </cell>
          <cell r="D215" t="str">
            <v>Medio</v>
          </cell>
          <cell r="E215" t="str">
            <v>No</v>
          </cell>
          <cell r="F215" t="str">
            <v>14.   Validación de Performance pre y post cambio</v>
          </cell>
          <cell r="G215" t="str">
            <v>No requiere</v>
          </cell>
        </row>
        <row r="216">
          <cell r="A216" t="str">
            <v>EmergenciaMediaMedioNo2.</v>
          </cell>
          <cell r="B216" t="str">
            <v>Emergencia</v>
          </cell>
          <cell r="C216" t="str">
            <v>Media</v>
          </cell>
          <cell r="D216" t="str">
            <v>Medio</v>
          </cell>
          <cell r="E216" t="str">
            <v>No</v>
          </cell>
          <cell r="F216" t="str">
            <v>2.     Checklist Certificado</v>
          </cell>
          <cell r="G216" t="str">
            <v>No requiere</v>
          </cell>
        </row>
        <row r="217">
          <cell r="A217" t="str">
            <v>EmergenciaMediaMedioNo3.</v>
          </cell>
          <cell r="B217" t="str">
            <v>Emergencia</v>
          </cell>
          <cell r="C217" t="str">
            <v>Media</v>
          </cell>
          <cell r="D217" t="str">
            <v>Medio</v>
          </cell>
          <cell r="E217" t="str">
            <v>No</v>
          </cell>
          <cell r="F217" t="str">
            <v>3.     Rollback Certificado en ambiente previo</v>
          </cell>
          <cell r="G217" t="str">
            <v>No requiere</v>
          </cell>
        </row>
        <row r="218">
          <cell r="A218" t="str">
            <v>EmergenciaMediaMedioNo4.</v>
          </cell>
          <cell r="B218" t="str">
            <v>Emergencia</v>
          </cell>
          <cell r="C218" t="str">
            <v>Media</v>
          </cell>
          <cell r="D218" t="str">
            <v>Medio</v>
          </cell>
          <cell r="E218" t="str">
            <v>No</v>
          </cell>
          <cell r="F218" t="str">
            <v xml:space="preserve">4.     Confirmación de ejecución/funcionamiento correcto en Ambiente Previo </v>
          </cell>
          <cell r="G218" t="str">
            <v>No requiere</v>
          </cell>
        </row>
        <row r="219">
          <cell r="A219" t="str">
            <v>EmergenciaAltaAltoNo12</v>
          </cell>
          <cell r="B219" t="str">
            <v>Emergencia</v>
          </cell>
          <cell r="C219" t="str">
            <v>Media</v>
          </cell>
          <cell r="D219" t="str">
            <v>Medio</v>
          </cell>
          <cell r="E219" t="str">
            <v>No</v>
          </cell>
          <cell r="F219" t="str">
            <v>6.   Evaluación de Riesgos TI</v>
          </cell>
          <cell r="G219" t="str">
            <v>No requiere</v>
          </cell>
        </row>
        <row r="220">
          <cell r="A220" t="str">
            <v>EmergenciaMediaMedioNo7.</v>
          </cell>
          <cell r="B220" t="str">
            <v>Emergencia</v>
          </cell>
          <cell r="C220" t="str">
            <v>Media</v>
          </cell>
          <cell r="D220" t="str">
            <v>Medio</v>
          </cell>
          <cell r="E220" t="str">
            <v>No</v>
          </cell>
          <cell r="F220" t="str">
            <v>7.     Análisis de reportes financieros</v>
          </cell>
          <cell r="G220" t="str">
            <v>No requiere</v>
          </cell>
        </row>
        <row r="221">
          <cell r="A221" t="str">
            <v>EmergenciaMediaMedioNo8.</v>
          </cell>
          <cell r="B221" t="str">
            <v>Emergencia</v>
          </cell>
          <cell r="C221" t="str">
            <v>Media</v>
          </cell>
          <cell r="D221" t="str">
            <v>Medio</v>
          </cell>
          <cell r="E221" t="str">
            <v>No</v>
          </cell>
          <cell r="F221" t="str">
            <v>8.     Garantizar soporte Estándar</v>
          </cell>
          <cell r="G221" t="str">
            <v>Requiere</v>
          </cell>
        </row>
        <row r="222">
          <cell r="A222" t="str">
            <v>EmergenciaMediaMedioNo9.</v>
          </cell>
          <cell r="B222" t="str">
            <v>Emergencia</v>
          </cell>
          <cell r="C222" t="str">
            <v>Media</v>
          </cell>
          <cell r="D222" t="str">
            <v>Medio</v>
          </cell>
          <cell r="E222" t="str">
            <v>No</v>
          </cell>
          <cell r="F222" t="str">
            <v xml:space="preserve">9.     Ofrecer Soporte físico </v>
          </cell>
          <cell r="G222" t="str">
            <v>No requiere</v>
          </cell>
        </row>
        <row r="223">
          <cell r="A223" t="str">
            <v>EmergenciaMediaMedioSi1.</v>
          </cell>
          <cell r="B223" t="str">
            <v>Emergencia</v>
          </cell>
          <cell r="C223" t="str">
            <v>Media</v>
          </cell>
          <cell r="D223" t="str">
            <v>Medio</v>
          </cell>
          <cell r="E223" t="str">
            <v>Si</v>
          </cell>
          <cell r="F223" t="str">
            <v xml:space="preserve">1.     Documentación requerida estándar </v>
          </cell>
          <cell r="G223" t="str">
            <v>No requiere</v>
          </cell>
        </row>
        <row r="224">
          <cell r="A224" t="str">
            <v>EmergenciaMediaMedioSi10</v>
          </cell>
          <cell r="B224" t="str">
            <v>Emergencia</v>
          </cell>
          <cell r="C224" t="str">
            <v>Media</v>
          </cell>
          <cell r="D224" t="str">
            <v>Medio</v>
          </cell>
          <cell r="E224" t="str">
            <v>Si</v>
          </cell>
          <cell r="F224" t="str">
            <v xml:space="preserve">10.     Ofrecer Soporte remoto </v>
          </cell>
          <cell r="G224" t="str">
            <v>Requiere</v>
          </cell>
        </row>
        <row r="225">
          <cell r="A225" t="str">
            <v>EmergenciaMediaMedioSi11</v>
          </cell>
          <cell r="B225" t="str">
            <v>Emergencia</v>
          </cell>
          <cell r="C225" t="str">
            <v>Media</v>
          </cell>
          <cell r="D225" t="str">
            <v>Medio</v>
          </cell>
          <cell r="E225" t="str">
            <v>Si</v>
          </cell>
          <cell r="F225" t="str">
            <v>11.     Ofrecer Soporte de vida temprana (ELS)</v>
          </cell>
          <cell r="G225" t="str">
            <v>Requiere</v>
          </cell>
        </row>
        <row r="226">
          <cell r="A226" t="str">
            <v>EmergenciaMediaMedioSi12</v>
          </cell>
          <cell r="B226" t="str">
            <v>Emergencia</v>
          </cell>
          <cell r="C226" t="str">
            <v>Media</v>
          </cell>
          <cell r="D226" t="str">
            <v>Medio</v>
          </cell>
          <cell r="E226" t="str">
            <v>Si</v>
          </cell>
          <cell r="F226" t="str">
            <v xml:space="preserve">12.     Realizar validación y confirmación funcional </v>
          </cell>
          <cell r="G226" t="str">
            <v>Requiere</v>
          </cell>
        </row>
        <row r="227">
          <cell r="A227" t="str">
            <v>EmergenciaMediaMedioSi13</v>
          </cell>
          <cell r="B227" t="str">
            <v>Emergencia</v>
          </cell>
          <cell r="C227" t="str">
            <v>Media</v>
          </cell>
          <cell r="D227" t="str">
            <v>Medio</v>
          </cell>
          <cell r="E227" t="str">
            <v>Si</v>
          </cell>
          <cell r="F227" t="str">
            <v>13.   Realizar validación y confirmación técnica</v>
          </cell>
          <cell r="G227" t="str">
            <v>Requiere</v>
          </cell>
        </row>
        <row r="228">
          <cell r="A228" t="str">
            <v>EmergenciaMediaMedioSi14</v>
          </cell>
          <cell r="B228" t="str">
            <v>Emergencia</v>
          </cell>
          <cell r="C228" t="str">
            <v>Media</v>
          </cell>
          <cell r="D228" t="str">
            <v>Medio</v>
          </cell>
          <cell r="E228" t="str">
            <v>Si</v>
          </cell>
          <cell r="F228" t="str">
            <v>14.   Validación de Performance pre y post cambio</v>
          </cell>
          <cell r="G228" t="str">
            <v>No requiere</v>
          </cell>
        </row>
        <row r="229">
          <cell r="A229" t="str">
            <v>EmergenciaMediaMedioSi2.</v>
          </cell>
          <cell r="B229" t="str">
            <v>Emergencia</v>
          </cell>
          <cell r="C229" t="str">
            <v>Media</v>
          </cell>
          <cell r="D229" t="str">
            <v>Medio</v>
          </cell>
          <cell r="E229" t="str">
            <v>Si</v>
          </cell>
          <cell r="F229" t="str">
            <v>2.     Checklist Certificado</v>
          </cell>
          <cell r="G229" t="str">
            <v>No requiere</v>
          </cell>
        </row>
        <row r="230">
          <cell r="A230" t="str">
            <v>EmergenciaMediaMedioSi3.</v>
          </cell>
          <cell r="B230" t="str">
            <v>Emergencia</v>
          </cell>
          <cell r="C230" t="str">
            <v>Media</v>
          </cell>
          <cell r="D230" t="str">
            <v>Medio</v>
          </cell>
          <cell r="E230" t="str">
            <v>Si</v>
          </cell>
          <cell r="F230" t="str">
            <v>3.     Rollback Certificado en ambiente previo</v>
          </cell>
          <cell r="G230" t="str">
            <v>No requiere</v>
          </cell>
        </row>
        <row r="231">
          <cell r="A231" t="str">
            <v>EmergenciaMediaMedioSi4.</v>
          </cell>
          <cell r="B231" t="str">
            <v>Emergencia</v>
          </cell>
          <cell r="C231" t="str">
            <v>Media</v>
          </cell>
          <cell r="D231" t="str">
            <v>Medio</v>
          </cell>
          <cell r="E231" t="str">
            <v>Si</v>
          </cell>
          <cell r="F231" t="str">
            <v xml:space="preserve">4.     Confirmación de ejecución/funcionamiento correcto en Ambiente Previo </v>
          </cell>
          <cell r="G231" t="str">
            <v>Requiere</v>
          </cell>
        </row>
        <row r="232">
          <cell r="A232" t="str">
            <v>EmergenciaMediaAltoSi12</v>
          </cell>
          <cell r="B232" t="str">
            <v>Emergencia</v>
          </cell>
          <cell r="C232" t="str">
            <v>Media</v>
          </cell>
          <cell r="D232" t="str">
            <v>Medio</v>
          </cell>
          <cell r="E232" t="str">
            <v>Si</v>
          </cell>
          <cell r="F232" t="str">
            <v>6.   Evaluación de Riesgos TI</v>
          </cell>
          <cell r="G232" t="str">
            <v>No requiere</v>
          </cell>
        </row>
        <row r="233">
          <cell r="A233" t="str">
            <v>EmergenciaMediaMedioSi7.</v>
          </cell>
          <cell r="B233" t="str">
            <v>Emergencia</v>
          </cell>
          <cell r="C233" t="str">
            <v>Media</v>
          </cell>
          <cell r="D233" t="str">
            <v>Medio</v>
          </cell>
          <cell r="E233" t="str">
            <v>Si</v>
          </cell>
          <cell r="F233" t="str">
            <v>7.     Análisis de reportes financieros</v>
          </cell>
          <cell r="G233" t="str">
            <v>No requiere</v>
          </cell>
        </row>
        <row r="234">
          <cell r="A234" t="str">
            <v>EmergenciaMediaMedioSi8.</v>
          </cell>
          <cell r="B234" t="str">
            <v>Emergencia</v>
          </cell>
          <cell r="C234" t="str">
            <v>Media</v>
          </cell>
          <cell r="D234" t="str">
            <v>Medio</v>
          </cell>
          <cell r="E234" t="str">
            <v>Si</v>
          </cell>
          <cell r="F234" t="str">
            <v>8.     Garantizar soporte Estándar</v>
          </cell>
          <cell r="G234" t="str">
            <v>Requiere</v>
          </cell>
        </row>
        <row r="235">
          <cell r="A235" t="str">
            <v>EmergenciaMediaMedioSi9.</v>
          </cell>
          <cell r="B235" t="str">
            <v>Emergencia</v>
          </cell>
          <cell r="C235" t="str">
            <v>Media</v>
          </cell>
          <cell r="D235" t="str">
            <v>Medio</v>
          </cell>
          <cell r="E235" t="str">
            <v>Si</v>
          </cell>
          <cell r="F235" t="str">
            <v xml:space="preserve">9.     Ofrecer Soporte físico </v>
          </cell>
          <cell r="G235" t="str">
            <v>No requiere</v>
          </cell>
        </row>
        <row r="236">
          <cell r="A236" t="str">
            <v>NormalAltaAltoNo1.</v>
          </cell>
          <cell r="B236" t="str">
            <v>Normal</v>
          </cell>
          <cell r="C236" t="str">
            <v>Alta</v>
          </cell>
          <cell r="D236" t="str">
            <v>Alto</v>
          </cell>
          <cell r="E236" t="str">
            <v>No</v>
          </cell>
          <cell r="F236" t="str">
            <v xml:space="preserve">1.     Documentación requerida estándar </v>
          </cell>
          <cell r="G236" t="str">
            <v>Requiere</v>
          </cell>
        </row>
        <row r="237">
          <cell r="A237" t="str">
            <v>NormalAltaAltoNo10</v>
          </cell>
          <cell r="B237" t="str">
            <v>Normal</v>
          </cell>
          <cell r="C237" t="str">
            <v>Alta</v>
          </cell>
          <cell r="D237" t="str">
            <v>Alto</v>
          </cell>
          <cell r="E237" t="str">
            <v>No</v>
          </cell>
          <cell r="F237" t="str">
            <v xml:space="preserve">10.     Ofrecer Soporte remoto </v>
          </cell>
          <cell r="G237" t="str">
            <v>No requiere</v>
          </cell>
        </row>
        <row r="238">
          <cell r="A238" t="str">
            <v>NormalAltaAltoNo11</v>
          </cell>
          <cell r="B238" t="str">
            <v>Normal</v>
          </cell>
          <cell r="C238" t="str">
            <v>Alta</v>
          </cell>
          <cell r="D238" t="str">
            <v>Alto</v>
          </cell>
          <cell r="E238" t="str">
            <v>No</v>
          </cell>
          <cell r="F238" t="str">
            <v>11.     Ofrecer Soporte de vida temprana (ELS)</v>
          </cell>
          <cell r="G238" t="str">
            <v>Requiere</v>
          </cell>
        </row>
        <row r="239">
          <cell r="A239" t="str">
            <v>NormalAltaAltoNo12</v>
          </cell>
          <cell r="B239" t="str">
            <v>Normal</v>
          </cell>
          <cell r="C239" t="str">
            <v>Alta</v>
          </cell>
          <cell r="D239" t="str">
            <v>Alto</v>
          </cell>
          <cell r="E239" t="str">
            <v>No</v>
          </cell>
          <cell r="F239" t="str">
            <v xml:space="preserve">12.     Realizar validación y confirmación funcional </v>
          </cell>
          <cell r="G239" t="str">
            <v>Requiere</v>
          </cell>
        </row>
        <row r="240">
          <cell r="A240" t="str">
            <v>NormalAltaAltoNo13</v>
          </cell>
          <cell r="B240" t="str">
            <v>Normal</v>
          </cell>
          <cell r="C240" t="str">
            <v>Alta</v>
          </cell>
          <cell r="D240" t="str">
            <v>Alto</v>
          </cell>
          <cell r="E240" t="str">
            <v>No</v>
          </cell>
          <cell r="F240" t="str">
            <v>13.   Realizar validación y confirmación técnica</v>
          </cell>
          <cell r="G240" t="str">
            <v>Requiere</v>
          </cell>
        </row>
        <row r="241">
          <cell r="A241" t="str">
            <v>NormalAltaAltoNo14</v>
          </cell>
          <cell r="B241" t="str">
            <v>Normal</v>
          </cell>
          <cell r="C241" t="str">
            <v>Alta</v>
          </cell>
          <cell r="D241" t="str">
            <v>Alto</v>
          </cell>
          <cell r="E241" t="str">
            <v>No</v>
          </cell>
          <cell r="F241" t="str">
            <v>14.   Validación de Performance pre y post cambio</v>
          </cell>
          <cell r="G241" t="str">
            <v>Requiere</v>
          </cell>
        </row>
        <row r="242">
          <cell r="A242" t="str">
            <v>NormalAltaAltoNo2.</v>
          </cell>
          <cell r="B242" t="str">
            <v>Normal</v>
          </cell>
          <cell r="C242" t="str">
            <v>Alta</v>
          </cell>
          <cell r="D242" t="str">
            <v>Alto</v>
          </cell>
          <cell r="E242" t="str">
            <v>No</v>
          </cell>
          <cell r="F242" t="str">
            <v>2.     Checklist Certificado</v>
          </cell>
          <cell r="G242" t="str">
            <v>Requiere</v>
          </cell>
        </row>
        <row r="243">
          <cell r="A243" t="str">
            <v>NormalAltaAltoNo3.</v>
          </cell>
          <cell r="B243" t="str">
            <v>Normal</v>
          </cell>
          <cell r="C243" t="str">
            <v>Alta</v>
          </cell>
          <cell r="D243" t="str">
            <v>Alto</v>
          </cell>
          <cell r="E243" t="str">
            <v>No</v>
          </cell>
          <cell r="F243" t="str">
            <v>3.     Rollback Certificado en ambiente previo</v>
          </cell>
          <cell r="G243" t="str">
            <v>Requiere</v>
          </cell>
        </row>
        <row r="244">
          <cell r="A244" t="str">
            <v>NormalAltaAltoNo4.</v>
          </cell>
          <cell r="B244" t="str">
            <v>Normal</v>
          </cell>
          <cell r="C244" t="str">
            <v>Alta</v>
          </cell>
          <cell r="D244" t="str">
            <v>Alto</v>
          </cell>
          <cell r="E244" t="str">
            <v>No</v>
          </cell>
          <cell r="F244" t="str">
            <v xml:space="preserve">4.     Confirmación de ejecución/funcionamiento correcto en Ambiente Previo </v>
          </cell>
          <cell r="G244" t="str">
            <v>Requiere</v>
          </cell>
        </row>
        <row r="245">
          <cell r="A245" t="str">
            <v>NormalAltaAltoNo6.</v>
          </cell>
          <cell r="B245" t="str">
            <v>Normal</v>
          </cell>
          <cell r="C245" t="str">
            <v>Alta</v>
          </cell>
          <cell r="D245" t="str">
            <v>Alto</v>
          </cell>
          <cell r="E245" t="str">
            <v>No</v>
          </cell>
          <cell r="F245" t="str">
            <v>6.   Evaluación de Riesgos TI</v>
          </cell>
          <cell r="G245" t="str">
            <v>Requiere</v>
          </cell>
        </row>
        <row r="246">
          <cell r="A246" t="str">
            <v>NormalAltaAltoNo7.</v>
          </cell>
          <cell r="B246" t="str">
            <v>Normal</v>
          </cell>
          <cell r="C246" t="str">
            <v>Alta</v>
          </cell>
          <cell r="D246" t="str">
            <v>Alto</v>
          </cell>
          <cell r="E246" t="str">
            <v>No</v>
          </cell>
          <cell r="F246" t="str">
            <v>7.     Análisis de reportes financieros</v>
          </cell>
          <cell r="G246" t="str">
            <v>Requiere</v>
          </cell>
        </row>
        <row r="247">
          <cell r="A247" t="str">
            <v>NormalAltaAltoNo8.</v>
          </cell>
          <cell r="B247" t="str">
            <v>Normal</v>
          </cell>
          <cell r="C247" t="str">
            <v>Alta</v>
          </cell>
          <cell r="D247" t="str">
            <v>Alto</v>
          </cell>
          <cell r="E247" t="str">
            <v>No</v>
          </cell>
          <cell r="F247" t="str">
            <v>8.     Garantizar soporte Estándar</v>
          </cell>
          <cell r="G247" t="str">
            <v>Requiere</v>
          </cell>
        </row>
        <row r="248">
          <cell r="A248" t="str">
            <v>NormalAltaAltoNo9.</v>
          </cell>
          <cell r="B248" t="str">
            <v>Normal</v>
          </cell>
          <cell r="C248" t="str">
            <v>Alta</v>
          </cell>
          <cell r="D248" t="str">
            <v>Alto</v>
          </cell>
          <cell r="E248" t="str">
            <v>No</v>
          </cell>
          <cell r="F248" t="str">
            <v xml:space="preserve">9.     Ofrecer Soporte físico </v>
          </cell>
          <cell r="G248" t="str">
            <v>Requiere</v>
          </cell>
        </row>
        <row r="249">
          <cell r="A249" t="str">
            <v>NormalAltaAltoSi1.</v>
          </cell>
          <cell r="B249" t="str">
            <v>Normal</v>
          </cell>
          <cell r="C249" t="str">
            <v>Alta</v>
          </cell>
          <cell r="D249" t="str">
            <v>Alto</v>
          </cell>
          <cell r="E249" t="str">
            <v>Si</v>
          </cell>
          <cell r="F249" t="str">
            <v xml:space="preserve">1.     Documentación requerida estándar </v>
          </cell>
          <cell r="G249" t="str">
            <v>Requiere</v>
          </cell>
        </row>
        <row r="250">
          <cell r="A250" t="str">
            <v>NormalAltaAltoSi10</v>
          </cell>
          <cell r="B250" t="str">
            <v>Normal</v>
          </cell>
          <cell r="C250" t="str">
            <v>Alta</v>
          </cell>
          <cell r="D250" t="str">
            <v>Alto</v>
          </cell>
          <cell r="E250" t="str">
            <v>Si</v>
          </cell>
          <cell r="F250" t="str">
            <v xml:space="preserve">10.     Ofrecer Soporte remoto </v>
          </cell>
          <cell r="G250" t="str">
            <v>No requiere</v>
          </cell>
        </row>
        <row r="251">
          <cell r="A251" t="str">
            <v>NormalAltaAltoSi11</v>
          </cell>
          <cell r="B251" t="str">
            <v>Normal</v>
          </cell>
          <cell r="C251" t="str">
            <v>Alta</v>
          </cell>
          <cell r="D251" t="str">
            <v>Alto</v>
          </cell>
          <cell r="E251" t="str">
            <v>Si</v>
          </cell>
          <cell r="F251" t="str">
            <v>11.     Ofrecer Soporte de vida temprana (ELS)</v>
          </cell>
          <cell r="G251" t="str">
            <v>Requiere</v>
          </cell>
        </row>
        <row r="252">
          <cell r="A252" t="str">
            <v>NormalAltaAltoSi12</v>
          </cell>
          <cell r="B252" t="str">
            <v>Normal</v>
          </cell>
          <cell r="C252" t="str">
            <v>Alta</v>
          </cell>
          <cell r="D252" t="str">
            <v>Alto</v>
          </cell>
          <cell r="E252" t="str">
            <v>Si</v>
          </cell>
          <cell r="F252" t="str">
            <v xml:space="preserve">12.     Realizar validación y confirmación funcional </v>
          </cell>
          <cell r="G252" t="str">
            <v>Requiere</v>
          </cell>
        </row>
        <row r="253">
          <cell r="A253" t="str">
            <v>NormalAltaAltoSi13</v>
          </cell>
          <cell r="B253" t="str">
            <v>Normal</v>
          </cell>
          <cell r="C253" t="str">
            <v>Alta</v>
          </cell>
          <cell r="D253" t="str">
            <v>Alto</v>
          </cell>
          <cell r="E253" t="str">
            <v>Si</v>
          </cell>
          <cell r="F253" t="str">
            <v>13.   Realizar validación y confirmación técnica</v>
          </cell>
          <cell r="G253" t="str">
            <v>Requiere</v>
          </cell>
        </row>
        <row r="254">
          <cell r="A254" t="str">
            <v>NormalAltaAltoSi14</v>
          </cell>
          <cell r="B254" t="str">
            <v>Normal</v>
          </cell>
          <cell r="C254" t="str">
            <v>Alta</v>
          </cell>
          <cell r="D254" t="str">
            <v>Alto</v>
          </cell>
          <cell r="E254" t="str">
            <v>Si</v>
          </cell>
          <cell r="F254" t="str">
            <v>14.   Validación de Performance pre y post cambio</v>
          </cell>
          <cell r="G254" t="str">
            <v>Requiere</v>
          </cell>
        </row>
        <row r="255">
          <cell r="A255" t="str">
            <v>NormalAltaAltoSi2.</v>
          </cell>
          <cell r="B255" t="str">
            <v>Normal</v>
          </cell>
          <cell r="C255" t="str">
            <v>Alta</v>
          </cell>
          <cell r="D255" t="str">
            <v>Alto</v>
          </cell>
          <cell r="E255" t="str">
            <v>Si</v>
          </cell>
          <cell r="F255" t="str">
            <v>2.     Checklist Certificado</v>
          </cell>
          <cell r="G255" t="str">
            <v>Requiere</v>
          </cell>
        </row>
        <row r="256">
          <cell r="A256" t="str">
            <v>NormalAltaAltoSi3.</v>
          </cell>
          <cell r="B256" t="str">
            <v>Normal</v>
          </cell>
          <cell r="C256" t="str">
            <v>Alta</v>
          </cell>
          <cell r="D256" t="str">
            <v>Alto</v>
          </cell>
          <cell r="E256" t="str">
            <v>Si</v>
          </cell>
          <cell r="F256" t="str">
            <v>3.     Rollback Certificado en ambiente previo</v>
          </cell>
          <cell r="G256" t="str">
            <v>Requiere</v>
          </cell>
        </row>
        <row r="257">
          <cell r="A257" t="str">
            <v>NormalAltaAltoSi4.</v>
          </cell>
          <cell r="B257" t="str">
            <v>Normal</v>
          </cell>
          <cell r="C257" t="str">
            <v>Alta</v>
          </cell>
          <cell r="D257" t="str">
            <v>Alto</v>
          </cell>
          <cell r="E257" t="str">
            <v>Si</v>
          </cell>
          <cell r="F257" t="str">
            <v xml:space="preserve">4.     Confirmación de ejecución/funcionamiento correcto en Ambiente Previo </v>
          </cell>
          <cell r="G257" t="str">
            <v>Requiere</v>
          </cell>
        </row>
        <row r="258">
          <cell r="A258" t="str">
            <v>NormalAltaAltoSi6.</v>
          </cell>
          <cell r="B258" t="str">
            <v>Normal</v>
          </cell>
          <cell r="C258" t="str">
            <v>Alta</v>
          </cell>
          <cell r="D258" t="str">
            <v>Alto</v>
          </cell>
          <cell r="E258" t="str">
            <v>Si</v>
          </cell>
          <cell r="F258" t="str">
            <v>6.   Evaluación de Riesgos TI</v>
          </cell>
          <cell r="G258" t="str">
            <v>Requiere</v>
          </cell>
        </row>
        <row r="259">
          <cell r="A259" t="str">
            <v>NormalAltaAltoSi7.</v>
          </cell>
          <cell r="B259" t="str">
            <v>Normal</v>
          </cell>
          <cell r="C259" t="str">
            <v>Alta</v>
          </cell>
          <cell r="D259" t="str">
            <v>Alto</v>
          </cell>
          <cell r="E259" t="str">
            <v>Si</v>
          </cell>
          <cell r="F259" t="str">
            <v>7.     Análisis de reportes financieros</v>
          </cell>
          <cell r="G259" t="str">
            <v>Requiere</v>
          </cell>
        </row>
        <row r="260">
          <cell r="A260" t="str">
            <v>NormalAltaAltoSi8.</v>
          </cell>
          <cell r="B260" t="str">
            <v>Normal</v>
          </cell>
          <cell r="C260" t="str">
            <v>Alta</v>
          </cell>
          <cell r="D260" t="str">
            <v>Alto</v>
          </cell>
          <cell r="E260" t="str">
            <v>Si</v>
          </cell>
          <cell r="F260" t="str">
            <v>8.     Garantizar soporte Estándar</v>
          </cell>
          <cell r="G260" t="str">
            <v>Requiere</v>
          </cell>
        </row>
        <row r="261">
          <cell r="A261" t="str">
            <v>NormalAltaAltoSi9.</v>
          </cell>
          <cell r="B261" t="str">
            <v>Normal</v>
          </cell>
          <cell r="C261" t="str">
            <v>Alta</v>
          </cell>
          <cell r="D261" t="str">
            <v>Alto</v>
          </cell>
          <cell r="E261" t="str">
            <v>Si</v>
          </cell>
          <cell r="F261" t="str">
            <v xml:space="preserve">9.     Ofrecer Soporte físico </v>
          </cell>
          <cell r="G261" t="str">
            <v>Requiere</v>
          </cell>
        </row>
        <row r="262">
          <cell r="A262" t="str">
            <v>NormalAltaBajoNo1.</v>
          </cell>
          <cell r="B262" t="str">
            <v>Normal</v>
          </cell>
          <cell r="C262" t="str">
            <v>Alta</v>
          </cell>
          <cell r="D262" t="str">
            <v>Bajo</v>
          </cell>
          <cell r="E262" t="str">
            <v>No</v>
          </cell>
          <cell r="F262" t="str">
            <v xml:space="preserve">1.     Documentación requerida estándar </v>
          </cell>
          <cell r="G262" t="str">
            <v>Requiere</v>
          </cell>
        </row>
        <row r="263">
          <cell r="A263" t="str">
            <v>NormalAltaBajoNo10</v>
          </cell>
          <cell r="B263" t="str">
            <v>Normal</v>
          </cell>
          <cell r="C263" t="str">
            <v>Alta</v>
          </cell>
          <cell r="D263" t="str">
            <v>Bajo</v>
          </cell>
          <cell r="E263" t="str">
            <v>No</v>
          </cell>
          <cell r="F263" t="str">
            <v xml:space="preserve">10.     Ofrecer Soporte remoto </v>
          </cell>
          <cell r="G263" t="str">
            <v>No requiere</v>
          </cell>
        </row>
        <row r="264">
          <cell r="A264" t="str">
            <v>NormalAltaBajoNo11</v>
          </cell>
          <cell r="B264" t="str">
            <v>Normal</v>
          </cell>
          <cell r="C264" t="str">
            <v>Alta</v>
          </cell>
          <cell r="D264" t="str">
            <v>Bajo</v>
          </cell>
          <cell r="E264" t="str">
            <v>No</v>
          </cell>
          <cell r="F264" t="str">
            <v>11.     Ofrecer Soporte de vida temprana (ELS)</v>
          </cell>
          <cell r="G264" t="str">
            <v>Requiere</v>
          </cell>
        </row>
        <row r="265">
          <cell r="A265" t="str">
            <v>NormalAltaBajoNo12</v>
          </cell>
          <cell r="B265" t="str">
            <v>Normal</v>
          </cell>
          <cell r="C265" t="str">
            <v>Alta</v>
          </cell>
          <cell r="D265" t="str">
            <v>Bajo</v>
          </cell>
          <cell r="E265" t="str">
            <v>No</v>
          </cell>
          <cell r="F265" t="str">
            <v xml:space="preserve">12.     Realizar validación y confirmación funcional </v>
          </cell>
          <cell r="G265" t="str">
            <v>Requiere</v>
          </cell>
        </row>
        <row r="266">
          <cell r="A266" t="str">
            <v>NormalAltaBajoNo13</v>
          </cell>
          <cell r="B266" t="str">
            <v>Normal</v>
          </cell>
          <cell r="C266" t="str">
            <v>Alta</v>
          </cell>
          <cell r="D266" t="str">
            <v>Bajo</v>
          </cell>
          <cell r="E266" t="str">
            <v>No</v>
          </cell>
          <cell r="F266" t="str">
            <v>13.   Realizar validación y confirmación técnica</v>
          </cell>
          <cell r="G266" t="str">
            <v>Requiere</v>
          </cell>
        </row>
        <row r="267">
          <cell r="A267" t="str">
            <v>NormalAltaBajoNo14</v>
          </cell>
          <cell r="B267" t="str">
            <v>Normal</v>
          </cell>
          <cell r="C267" t="str">
            <v>Alta</v>
          </cell>
          <cell r="D267" t="str">
            <v>Bajo</v>
          </cell>
          <cell r="E267" t="str">
            <v>No</v>
          </cell>
          <cell r="F267" t="str">
            <v>14.   Validación de Performance pre y post cambio</v>
          </cell>
          <cell r="G267" t="str">
            <v>No requiere</v>
          </cell>
        </row>
        <row r="268">
          <cell r="A268" t="str">
            <v>NormalAltaBajoNo2.</v>
          </cell>
          <cell r="B268" t="str">
            <v>Normal</v>
          </cell>
          <cell r="C268" t="str">
            <v>Alta</v>
          </cell>
          <cell r="D268" t="str">
            <v>Bajo</v>
          </cell>
          <cell r="E268" t="str">
            <v>No</v>
          </cell>
          <cell r="F268" t="str">
            <v>2.     Checklist Certificado</v>
          </cell>
          <cell r="G268" t="str">
            <v>Requiere</v>
          </cell>
        </row>
        <row r="269">
          <cell r="A269" t="str">
            <v>NormalAltaBajoNo3.</v>
          </cell>
          <cell r="B269" t="str">
            <v>Normal</v>
          </cell>
          <cell r="C269" t="str">
            <v>Alta</v>
          </cell>
          <cell r="D269" t="str">
            <v>Bajo</v>
          </cell>
          <cell r="E269" t="str">
            <v>No</v>
          </cell>
          <cell r="F269" t="str">
            <v>3.     Rollback Certificado en ambiente previo</v>
          </cell>
          <cell r="G269" t="str">
            <v>Requiere</v>
          </cell>
        </row>
        <row r="270">
          <cell r="A270" t="str">
            <v>NormalAltaBajoNo4.</v>
          </cell>
          <cell r="B270" t="str">
            <v>Normal</v>
          </cell>
          <cell r="C270" t="str">
            <v>Alta</v>
          </cell>
          <cell r="D270" t="str">
            <v>Bajo</v>
          </cell>
          <cell r="E270" t="str">
            <v>No</v>
          </cell>
          <cell r="F270" t="str">
            <v xml:space="preserve">4.     Confirmación de ejecución/funcionamiento correcto en Ambiente Previo </v>
          </cell>
          <cell r="G270" t="str">
            <v>Requiere</v>
          </cell>
        </row>
        <row r="271">
          <cell r="A271" t="str">
            <v>NormalAltaBajoNo6.</v>
          </cell>
          <cell r="B271" t="str">
            <v>Normal</v>
          </cell>
          <cell r="C271" t="str">
            <v>Alta</v>
          </cell>
          <cell r="D271" t="str">
            <v>Bajo</v>
          </cell>
          <cell r="E271" t="str">
            <v>No</v>
          </cell>
          <cell r="F271" t="str">
            <v>6.   Evaluación de Riesgos TI</v>
          </cell>
          <cell r="G271" t="str">
            <v>No requiere</v>
          </cell>
        </row>
        <row r="272">
          <cell r="A272" t="str">
            <v>NormalAltaBajoNo7.</v>
          </cell>
          <cell r="B272" t="str">
            <v>Normal</v>
          </cell>
          <cell r="C272" t="str">
            <v>Alta</v>
          </cell>
          <cell r="D272" t="str">
            <v>Bajo</v>
          </cell>
          <cell r="E272" t="str">
            <v>No</v>
          </cell>
          <cell r="F272" t="str">
            <v>7.     Análisis de reportes financieros</v>
          </cell>
          <cell r="G272" t="str">
            <v>No requiere</v>
          </cell>
        </row>
        <row r="273">
          <cell r="A273" t="str">
            <v>NormalAltaBajoNo8.</v>
          </cell>
          <cell r="B273" t="str">
            <v>Normal</v>
          </cell>
          <cell r="C273" t="str">
            <v>Alta</v>
          </cell>
          <cell r="D273" t="str">
            <v>Bajo</v>
          </cell>
          <cell r="E273" t="str">
            <v>No</v>
          </cell>
          <cell r="F273" t="str">
            <v>8.     Garantizar soporte Estándar</v>
          </cell>
          <cell r="G273" t="str">
            <v>Requiere</v>
          </cell>
        </row>
        <row r="274">
          <cell r="A274" t="str">
            <v>NormalAltaBajoNo9.</v>
          </cell>
          <cell r="B274" t="str">
            <v>Normal</v>
          </cell>
          <cell r="C274" t="str">
            <v>Alta</v>
          </cell>
          <cell r="D274" t="str">
            <v>Bajo</v>
          </cell>
          <cell r="E274" t="str">
            <v>No</v>
          </cell>
          <cell r="F274" t="str">
            <v xml:space="preserve">9.     Ofrecer Soporte físico </v>
          </cell>
          <cell r="G274" t="str">
            <v>Requiere</v>
          </cell>
        </row>
        <row r="275">
          <cell r="A275" t="str">
            <v>NormalAltaBajoSi1.</v>
          </cell>
          <cell r="B275" t="str">
            <v>Normal</v>
          </cell>
          <cell r="C275" t="str">
            <v>Alta</v>
          </cell>
          <cell r="D275" t="str">
            <v>Bajo</v>
          </cell>
          <cell r="E275" t="str">
            <v>Si</v>
          </cell>
          <cell r="F275" t="str">
            <v xml:space="preserve">1.     Documentación requerida estándar </v>
          </cell>
          <cell r="G275" t="str">
            <v>Requiere</v>
          </cell>
        </row>
        <row r="276">
          <cell r="A276" t="str">
            <v>NormalAltaBajoSi10</v>
          </cell>
          <cell r="B276" t="str">
            <v>Normal</v>
          </cell>
          <cell r="C276" t="str">
            <v>Alta</v>
          </cell>
          <cell r="D276" t="str">
            <v>Bajo</v>
          </cell>
          <cell r="E276" t="str">
            <v>Si</v>
          </cell>
          <cell r="F276" t="str">
            <v xml:space="preserve">10.     Ofrecer Soporte remoto </v>
          </cell>
          <cell r="G276" t="str">
            <v>No requiere</v>
          </cell>
        </row>
        <row r="277">
          <cell r="A277" t="str">
            <v>NormalAltaBajoSi11</v>
          </cell>
          <cell r="B277" t="str">
            <v>Normal</v>
          </cell>
          <cell r="C277" t="str">
            <v>Alta</v>
          </cell>
          <cell r="D277" t="str">
            <v>Bajo</v>
          </cell>
          <cell r="E277" t="str">
            <v>Si</v>
          </cell>
          <cell r="F277" t="str">
            <v>11.     Ofrecer Soporte de vida temprana (ELS)</v>
          </cell>
          <cell r="G277" t="str">
            <v>Requiere</v>
          </cell>
        </row>
        <row r="278">
          <cell r="A278" t="str">
            <v>NormalAltaBajoSi12</v>
          </cell>
          <cell r="B278" t="str">
            <v>Normal</v>
          </cell>
          <cell r="C278" t="str">
            <v>Alta</v>
          </cell>
          <cell r="D278" t="str">
            <v>Bajo</v>
          </cell>
          <cell r="E278" t="str">
            <v>Si</v>
          </cell>
          <cell r="F278" t="str">
            <v xml:space="preserve">12.     Realizar validación y confirmación funcional </v>
          </cell>
          <cell r="G278" t="str">
            <v>Requiere</v>
          </cell>
        </row>
        <row r="279">
          <cell r="A279" t="str">
            <v>NormalAltaBajoSi13</v>
          </cell>
          <cell r="B279" t="str">
            <v>Normal</v>
          </cell>
          <cell r="C279" t="str">
            <v>Alta</v>
          </cell>
          <cell r="D279" t="str">
            <v>Bajo</v>
          </cell>
          <cell r="E279" t="str">
            <v>Si</v>
          </cell>
          <cell r="F279" t="str">
            <v>13.   Realizar validación y confirmación técnica</v>
          </cell>
          <cell r="G279" t="str">
            <v>Requiere</v>
          </cell>
        </row>
        <row r="280">
          <cell r="A280" t="str">
            <v>NormalAltaBajoSi14</v>
          </cell>
          <cell r="B280" t="str">
            <v>Normal</v>
          </cell>
          <cell r="C280" t="str">
            <v>Alta</v>
          </cell>
          <cell r="D280" t="str">
            <v>Bajo</v>
          </cell>
          <cell r="E280" t="str">
            <v>Si</v>
          </cell>
          <cell r="F280" t="str">
            <v>14.   Validación de Performance pre y post cambio</v>
          </cell>
          <cell r="G280" t="str">
            <v>No requiere</v>
          </cell>
        </row>
        <row r="281">
          <cell r="A281" t="str">
            <v>NormalAltaBajoSi2.</v>
          </cell>
          <cell r="B281" t="str">
            <v>Normal</v>
          </cell>
          <cell r="C281" t="str">
            <v>Alta</v>
          </cell>
          <cell r="D281" t="str">
            <v>Bajo</v>
          </cell>
          <cell r="E281" t="str">
            <v>Si</v>
          </cell>
          <cell r="F281" t="str">
            <v>2.     Checklist Certificado</v>
          </cell>
          <cell r="G281" t="str">
            <v>Requiere</v>
          </cell>
        </row>
        <row r="282">
          <cell r="A282" t="str">
            <v>NormalAltaBajoSi3.</v>
          </cell>
          <cell r="B282" t="str">
            <v>Normal</v>
          </cell>
          <cell r="C282" t="str">
            <v>Alta</v>
          </cell>
          <cell r="D282" t="str">
            <v>Bajo</v>
          </cell>
          <cell r="E282" t="str">
            <v>Si</v>
          </cell>
          <cell r="F282" t="str">
            <v>3.     Rollback Certificado en ambiente previo</v>
          </cell>
          <cell r="G282" t="str">
            <v>Requiere</v>
          </cell>
        </row>
        <row r="283">
          <cell r="A283" t="str">
            <v>NormalAltaBajoSi4.</v>
          </cell>
          <cell r="B283" t="str">
            <v>Normal</v>
          </cell>
          <cell r="C283" t="str">
            <v>Alta</v>
          </cell>
          <cell r="D283" t="str">
            <v>Bajo</v>
          </cell>
          <cell r="E283" t="str">
            <v>Si</v>
          </cell>
          <cell r="F283" t="str">
            <v xml:space="preserve">4.     Confirmación de ejecución/funcionamiento correcto en Ambiente Previo </v>
          </cell>
          <cell r="G283" t="str">
            <v>Requiere</v>
          </cell>
        </row>
        <row r="284">
          <cell r="A284" t="str">
            <v>NormalAltaBajoSi6.</v>
          </cell>
          <cell r="B284" t="str">
            <v>Normal</v>
          </cell>
          <cell r="C284" t="str">
            <v>Alta</v>
          </cell>
          <cell r="D284" t="str">
            <v>Bajo</v>
          </cell>
          <cell r="E284" t="str">
            <v>Si</v>
          </cell>
          <cell r="F284" t="str">
            <v>6.   Evaluación de Riesgos TI</v>
          </cell>
          <cell r="G284" t="str">
            <v>No requiere</v>
          </cell>
        </row>
        <row r="285">
          <cell r="A285" t="str">
            <v>NormalAltaBajoSi7.</v>
          </cell>
          <cell r="B285" t="str">
            <v>Normal</v>
          </cell>
          <cell r="C285" t="str">
            <v>Alta</v>
          </cell>
          <cell r="D285" t="str">
            <v>Bajo</v>
          </cell>
          <cell r="E285" t="str">
            <v>Si</v>
          </cell>
          <cell r="F285" t="str">
            <v>7.     Análisis de reportes financieros</v>
          </cell>
          <cell r="G285" t="str">
            <v>No requiere</v>
          </cell>
        </row>
        <row r="286">
          <cell r="A286" t="str">
            <v>NormalAltaBajoSi8.</v>
          </cell>
          <cell r="B286" t="str">
            <v>Normal</v>
          </cell>
          <cell r="C286" t="str">
            <v>Alta</v>
          </cell>
          <cell r="D286" t="str">
            <v>Bajo</v>
          </cell>
          <cell r="E286" t="str">
            <v>Si</v>
          </cell>
          <cell r="F286" t="str">
            <v>8.     Garantizar soporte Estándar</v>
          </cell>
          <cell r="G286" t="str">
            <v>Requiere</v>
          </cell>
        </row>
        <row r="287">
          <cell r="A287" t="str">
            <v>NormalAltaBajoSi9.</v>
          </cell>
          <cell r="B287" t="str">
            <v>Normal</v>
          </cell>
          <cell r="C287" t="str">
            <v>Alta</v>
          </cell>
          <cell r="D287" t="str">
            <v>Bajo</v>
          </cell>
          <cell r="E287" t="str">
            <v>Si</v>
          </cell>
          <cell r="F287" t="str">
            <v xml:space="preserve">9.     Ofrecer Soporte físico </v>
          </cell>
          <cell r="G287" t="str">
            <v>Requiere</v>
          </cell>
        </row>
        <row r="288">
          <cell r="A288" t="str">
            <v>NormalAltaMedioNo1.</v>
          </cell>
          <cell r="B288" t="str">
            <v>Normal</v>
          </cell>
          <cell r="C288" t="str">
            <v>Alta</v>
          </cell>
          <cell r="D288" t="str">
            <v>Medio</v>
          </cell>
          <cell r="E288" t="str">
            <v>No</v>
          </cell>
          <cell r="F288" t="str">
            <v xml:space="preserve">1.     Documentación requerida estándar </v>
          </cell>
          <cell r="G288" t="str">
            <v>Requiere</v>
          </cell>
        </row>
        <row r="289">
          <cell r="A289" t="str">
            <v>NormalAltaMedioNo10</v>
          </cell>
          <cell r="B289" t="str">
            <v>Normal</v>
          </cell>
          <cell r="C289" t="str">
            <v>Alta</v>
          </cell>
          <cell r="D289" t="str">
            <v>Medio</v>
          </cell>
          <cell r="E289" t="str">
            <v>No</v>
          </cell>
          <cell r="F289" t="str">
            <v xml:space="preserve">10.     Ofrecer Soporte remoto </v>
          </cell>
          <cell r="G289" t="str">
            <v>No requiere</v>
          </cell>
        </row>
        <row r="290">
          <cell r="A290" t="str">
            <v>NormalAltaMedioNo11</v>
          </cell>
          <cell r="B290" t="str">
            <v>Normal</v>
          </cell>
          <cell r="C290" t="str">
            <v>Alta</v>
          </cell>
          <cell r="D290" t="str">
            <v>Medio</v>
          </cell>
          <cell r="E290" t="str">
            <v>No</v>
          </cell>
          <cell r="F290" t="str">
            <v>11.     Ofrecer Soporte de vida temprana (ELS)</v>
          </cell>
          <cell r="G290" t="str">
            <v>Requiere</v>
          </cell>
        </row>
        <row r="291">
          <cell r="A291" t="str">
            <v>NormalAltaMedioNo12</v>
          </cell>
          <cell r="B291" t="str">
            <v>Normal</v>
          </cell>
          <cell r="C291" t="str">
            <v>Alta</v>
          </cell>
          <cell r="D291" t="str">
            <v>Medio</v>
          </cell>
          <cell r="E291" t="str">
            <v>No</v>
          </cell>
          <cell r="F291" t="str">
            <v xml:space="preserve">12.     Realizar validación y confirmación funcional </v>
          </cell>
          <cell r="G291" t="str">
            <v>Requiere</v>
          </cell>
        </row>
        <row r="292">
          <cell r="A292" t="str">
            <v>NormalAltaMedioNo13</v>
          </cell>
          <cell r="B292" t="str">
            <v>Normal</v>
          </cell>
          <cell r="C292" t="str">
            <v>Alta</v>
          </cell>
          <cell r="D292" t="str">
            <v>Medio</v>
          </cell>
          <cell r="E292" t="str">
            <v>No</v>
          </cell>
          <cell r="F292" t="str">
            <v>13.   Realizar validación y confirmación técnica</v>
          </cell>
          <cell r="G292" t="str">
            <v>Requiere</v>
          </cell>
        </row>
        <row r="293">
          <cell r="A293" t="str">
            <v>NormalAltaMedioNo14</v>
          </cell>
          <cell r="B293" t="str">
            <v>Normal</v>
          </cell>
          <cell r="C293" t="str">
            <v>Alta</v>
          </cell>
          <cell r="D293" t="str">
            <v>Medio</v>
          </cell>
          <cell r="E293" t="str">
            <v>No</v>
          </cell>
          <cell r="F293" t="str">
            <v>14.   Validación de Performance pre y post cambio</v>
          </cell>
          <cell r="G293" t="str">
            <v>Requiere</v>
          </cell>
        </row>
        <row r="294">
          <cell r="A294" t="str">
            <v>NormalAltaMedioNo2.</v>
          </cell>
          <cell r="B294" t="str">
            <v>Normal</v>
          </cell>
          <cell r="C294" t="str">
            <v>Alta</v>
          </cell>
          <cell r="D294" t="str">
            <v>Medio</v>
          </cell>
          <cell r="E294" t="str">
            <v>No</v>
          </cell>
          <cell r="F294" t="str">
            <v>2.     Checklist Certificado</v>
          </cell>
          <cell r="G294" t="str">
            <v>Requiere</v>
          </cell>
        </row>
        <row r="295">
          <cell r="A295" t="str">
            <v>NormalAltaMedioNo3.</v>
          </cell>
          <cell r="B295" t="str">
            <v>Normal</v>
          </cell>
          <cell r="C295" t="str">
            <v>Alta</v>
          </cell>
          <cell r="D295" t="str">
            <v>Medio</v>
          </cell>
          <cell r="E295" t="str">
            <v>No</v>
          </cell>
          <cell r="F295" t="str">
            <v>3.     Rollback Certificado en ambiente previo</v>
          </cell>
          <cell r="G295" t="str">
            <v>Requiere</v>
          </cell>
        </row>
        <row r="296">
          <cell r="A296" t="str">
            <v>NormalAltaMedioNo4.</v>
          </cell>
          <cell r="B296" t="str">
            <v>Normal</v>
          </cell>
          <cell r="C296" t="str">
            <v>Alta</v>
          </cell>
          <cell r="D296" t="str">
            <v>Medio</v>
          </cell>
          <cell r="E296" t="str">
            <v>No</v>
          </cell>
          <cell r="F296" t="str">
            <v xml:space="preserve">4.     Confirmación de ejecución/funcionamiento correcto en Ambiente Previo </v>
          </cell>
          <cell r="G296" t="str">
            <v>Requiere</v>
          </cell>
        </row>
        <row r="297">
          <cell r="A297" t="str">
            <v>NormalAltaMedioNo6.</v>
          </cell>
          <cell r="B297" t="str">
            <v>Normal</v>
          </cell>
          <cell r="C297" t="str">
            <v>Alta</v>
          </cell>
          <cell r="D297" t="str">
            <v>Medio</v>
          </cell>
          <cell r="E297" t="str">
            <v>No</v>
          </cell>
          <cell r="F297" t="str">
            <v>6.   Evaluación de Riesgos TI</v>
          </cell>
          <cell r="G297" t="str">
            <v>Requiere</v>
          </cell>
        </row>
        <row r="298">
          <cell r="A298" t="str">
            <v>NormalAltaMedioNo7.</v>
          </cell>
          <cell r="B298" t="str">
            <v>Normal</v>
          </cell>
          <cell r="C298" t="str">
            <v>Alta</v>
          </cell>
          <cell r="D298" t="str">
            <v>Medio</v>
          </cell>
          <cell r="E298" t="str">
            <v>No</v>
          </cell>
          <cell r="F298" t="str">
            <v>7.     Análisis de reportes financieros</v>
          </cell>
          <cell r="G298" t="str">
            <v>No requiere</v>
          </cell>
        </row>
        <row r="299">
          <cell r="A299" t="str">
            <v>NormalAltaMedioNo8.</v>
          </cell>
          <cell r="B299" t="str">
            <v>Normal</v>
          </cell>
          <cell r="C299" t="str">
            <v>Alta</v>
          </cell>
          <cell r="D299" t="str">
            <v>Medio</v>
          </cell>
          <cell r="E299" t="str">
            <v>No</v>
          </cell>
          <cell r="F299" t="str">
            <v>8.     Garantizar soporte Estándar</v>
          </cell>
          <cell r="G299" t="str">
            <v>Requiere</v>
          </cell>
        </row>
        <row r="300">
          <cell r="A300" t="str">
            <v>NormalAltaMedioNo9.</v>
          </cell>
          <cell r="B300" t="str">
            <v>Normal</v>
          </cell>
          <cell r="C300" t="str">
            <v>Alta</v>
          </cell>
          <cell r="D300" t="str">
            <v>Medio</v>
          </cell>
          <cell r="E300" t="str">
            <v>No</v>
          </cell>
          <cell r="F300" t="str">
            <v xml:space="preserve">9.     Ofrecer Soporte físico </v>
          </cell>
          <cell r="G300" t="str">
            <v>Requiere</v>
          </cell>
        </row>
        <row r="301">
          <cell r="A301" t="str">
            <v>NormalAltaMedioSi1.</v>
          </cell>
          <cell r="B301" t="str">
            <v>Normal</v>
          </cell>
          <cell r="C301" t="str">
            <v>Alta</v>
          </cell>
          <cell r="D301" t="str">
            <v>Medio</v>
          </cell>
          <cell r="E301" t="str">
            <v>Si</v>
          </cell>
          <cell r="F301" t="str">
            <v xml:space="preserve">1.     Documentación requerida estándar </v>
          </cell>
          <cell r="G301" t="str">
            <v>Requiere</v>
          </cell>
        </row>
        <row r="302">
          <cell r="A302" t="str">
            <v>NormalAltaMedioSi10</v>
          </cell>
          <cell r="B302" t="str">
            <v>Normal</v>
          </cell>
          <cell r="C302" t="str">
            <v>Alta</v>
          </cell>
          <cell r="D302" t="str">
            <v>Medio</v>
          </cell>
          <cell r="E302" t="str">
            <v>Si</v>
          </cell>
          <cell r="F302" t="str">
            <v xml:space="preserve">10.     Ofrecer Soporte remoto </v>
          </cell>
          <cell r="G302" t="str">
            <v>No requiere</v>
          </cell>
        </row>
        <row r="303">
          <cell r="A303" t="str">
            <v>NormalAltaMedioSi11</v>
          </cell>
          <cell r="B303" t="str">
            <v>Normal</v>
          </cell>
          <cell r="C303" t="str">
            <v>Alta</v>
          </cell>
          <cell r="D303" t="str">
            <v>Medio</v>
          </cell>
          <cell r="E303" t="str">
            <v>Si</v>
          </cell>
          <cell r="F303" t="str">
            <v>11.     Ofrecer Soporte de vida temprana (ELS)</v>
          </cell>
          <cell r="G303" t="str">
            <v>Requiere</v>
          </cell>
        </row>
        <row r="304">
          <cell r="A304" t="str">
            <v>NormalAltaMedioSi12</v>
          </cell>
          <cell r="B304" t="str">
            <v>Normal</v>
          </cell>
          <cell r="C304" t="str">
            <v>Alta</v>
          </cell>
          <cell r="D304" t="str">
            <v>Medio</v>
          </cell>
          <cell r="E304" t="str">
            <v>Si</v>
          </cell>
          <cell r="F304" t="str">
            <v xml:space="preserve">12.     Realizar validación y confirmación funcional </v>
          </cell>
          <cell r="G304" t="str">
            <v>Requiere</v>
          </cell>
        </row>
        <row r="305">
          <cell r="A305" t="str">
            <v>NormalAltaMedioSi13</v>
          </cell>
          <cell r="B305" t="str">
            <v>Normal</v>
          </cell>
          <cell r="C305" t="str">
            <v>Alta</v>
          </cell>
          <cell r="D305" t="str">
            <v>Medio</v>
          </cell>
          <cell r="E305" t="str">
            <v>Si</v>
          </cell>
          <cell r="F305" t="str">
            <v>13.   Realizar validación y confirmación técnica</v>
          </cell>
          <cell r="G305" t="str">
            <v>Requiere</v>
          </cell>
        </row>
        <row r="306">
          <cell r="A306" t="str">
            <v>NormalAltaMedioSi14</v>
          </cell>
          <cell r="B306" t="str">
            <v>Normal</v>
          </cell>
          <cell r="C306" t="str">
            <v>Alta</v>
          </cell>
          <cell r="D306" t="str">
            <v>Medio</v>
          </cell>
          <cell r="E306" t="str">
            <v>Si</v>
          </cell>
          <cell r="F306" t="str">
            <v>14.   Validación de Performance pre y post cambio</v>
          </cell>
          <cell r="G306" t="str">
            <v>Requiere</v>
          </cell>
        </row>
        <row r="307">
          <cell r="A307" t="str">
            <v>NormalAltaMedioSi2.</v>
          </cell>
          <cell r="B307" t="str">
            <v>Normal</v>
          </cell>
          <cell r="C307" t="str">
            <v>Alta</v>
          </cell>
          <cell r="D307" t="str">
            <v>Medio</v>
          </cell>
          <cell r="E307" t="str">
            <v>Si</v>
          </cell>
          <cell r="F307" t="str">
            <v>2.     Checklist Certificado</v>
          </cell>
          <cell r="G307" t="str">
            <v>Requiere</v>
          </cell>
        </row>
        <row r="308">
          <cell r="A308" t="str">
            <v>NormalAltaMedioSi3.</v>
          </cell>
          <cell r="B308" t="str">
            <v>Normal</v>
          </cell>
          <cell r="C308" t="str">
            <v>Alta</v>
          </cell>
          <cell r="D308" t="str">
            <v>Medio</v>
          </cell>
          <cell r="E308" t="str">
            <v>Si</v>
          </cell>
          <cell r="F308" t="str">
            <v>3.     Rollback Certificado en ambiente previo</v>
          </cell>
          <cell r="G308" t="str">
            <v>Requiere</v>
          </cell>
        </row>
        <row r="309">
          <cell r="A309" t="str">
            <v>NormalAltaMedioSi4.</v>
          </cell>
          <cell r="B309" t="str">
            <v>Normal</v>
          </cell>
          <cell r="C309" t="str">
            <v>Alta</v>
          </cell>
          <cell r="D309" t="str">
            <v>Medio</v>
          </cell>
          <cell r="E309" t="str">
            <v>Si</v>
          </cell>
          <cell r="F309" t="str">
            <v xml:space="preserve">4.     Confirmación de ejecución/funcionamiento correcto en Ambiente Previo </v>
          </cell>
          <cell r="G309" t="str">
            <v>Requiere</v>
          </cell>
        </row>
        <row r="310">
          <cell r="A310" t="str">
            <v>NormalAltaMedioSi6.</v>
          </cell>
          <cell r="B310" t="str">
            <v>Normal</v>
          </cell>
          <cell r="C310" t="str">
            <v>Alta</v>
          </cell>
          <cell r="D310" t="str">
            <v>Medio</v>
          </cell>
          <cell r="E310" t="str">
            <v>Si</v>
          </cell>
          <cell r="F310" t="str">
            <v>6.   Evaluación de Riesgos TI</v>
          </cell>
          <cell r="G310" t="str">
            <v>Requiere</v>
          </cell>
        </row>
        <row r="311">
          <cell r="A311" t="str">
            <v>NormalAltaMedioSi7.</v>
          </cell>
          <cell r="B311" t="str">
            <v>Normal</v>
          </cell>
          <cell r="C311" t="str">
            <v>Alta</v>
          </cell>
          <cell r="D311" t="str">
            <v>Medio</v>
          </cell>
          <cell r="E311" t="str">
            <v>Si</v>
          </cell>
          <cell r="F311" t="str">
            <v>7.     Análisis de reportes financieros</v>
          </cell>
          <cell r="G311" t="str">
            <v>No requiere</v>
          </cell>
        </row>
        <row r="312">
          <cell r="A312" t="str">
            <v>NormalAltaMedioSi8.</v>
          </cell>
          <cell r="B312" t="str">
            <v>Normal</v>
          </cell>
          <cell r="C312" t="str">
            <v>Alta</v>
          </cell>
          <cell r="D312" t="str">
            <v>Medio</v>
          </cell>
          <cell r="E312" t="str">
            <v>Si</v>
          </cell>
          <cell r="F312" t="str">
            <v>8.     Garantizar soporte Estándar</v>
          </cell>
          <cell r="G312" t="str">
            <v>Requiere</v>
          </cell>
        </row>
        <row r="313">
          <cell r="A313" t="str">
            <v>NormalAltaMedioSi9.</v>
          </cell>
          <cell r="B313" t="str">
            <v>Normal</v>
          </cell>
          <cell r="C313" t="str">
            <v>Alta</v>
          </cell>
          <cell r="D313" t="str">
            <v>Medio</v>
          </cell>
          <cell r="E313" t="str">
            <v>Si</v>
          </cell>
          <cell r="F313" t="str">
            <v xml:space="preserve">9.     Ofrecer Soporte físico </v>
          </cell>
          <cell r="G313" t="str">
            <v>Requiere</v>
          </cell>
        </row>
        <row r="314">
          <cell r="A314" t="str">
            <v>NormalBajaAltoNo1.</v>
          </cell>
          <cell r="B314" t="str">
            <v>Normal</v>
          </cell>
          <cell r="C314" t="str">
            <v>Baja</v>
          </cell>
          <cell r="D314" t="str">
            <v>Alto</v>
          </cell>
          <cell r="E314" t="str">
            <v>No</v>
          </cell>
          <cell r="F314" t="str">
            <v xml:space="preserve">1.     Documentación requerida estándar </v>
          </cell>
          <cell r="G314" t="str">
            <v>Requiere</v>
          </cell>
        </row>
        <row r="315">
          <cell r="A315" t="str">
            <v>NormalBajaAltoNo10</v>
          </cell>
          <cell r="B315" t="str">
            <v>Normal</v>
          </cell>
          <cell r="C315" t="str">
            <v>Baja</v>
          </cell>
          <cell r="D315" t="str">
            <v>Alto</v>
          </cell>
          <cell r="E315" t="str">
            <v>No</v>
          </cell>
          <cell r="F315" t="str">
            <v xml:space="preserve">10.     Ofrecer Soporte remoto </v>
          </cell>
          <cell r="G315" t="str">
            <v>No requiere</v>
          </cell>
        </row>
        <row r="316">
          <cell r="A316" t="str">
            <v>NormalBajaAltoNo11</v>
          </cell>
          <cell r="B316" t="str">
            <v>Normal</v>
          </cell>
          <cell r="C316" t="str">
            <v>Baja</v>
          </cell>
          <cell r="D316" t="str">
            <v>Alto</v>
          </cell>
          <cell r="E316" t="str">
            <v>No</v>
          </cell>
          <cell r="F316" t="str">
            <v>11.     Ofrecer Soporte de vida temprana (ELS)</v>
          </cell>
          <cell r="G316" t="str">
            <v>No requiere</v>
          </cell>
        </row>
        <row r="317">
          <cell r="A317" t="str">
            <v>NormalBajaAltoNo12</v>
          </cell>
          <cell r="B317" t="str">
            <v>Normal</v>
          </cell>
          <cell r="C317" t="str">
            <v>Baja</v>
          </cell>
          <cell r="D317" t="str">
            <v>Alto</v>
          </cell>
          <cell r="E317" t="str">
            <v>No</v>
          </cell>
          <cell r="F317" t="str">
            <v xml:space="preserve">12.     Realizar validación y confirmación funcional </v>
          </cell>
          <cell r="G317" t="str">
            <v>Requiere</v>
          </cell>
        </row>
        <row r="318">
          <cell r="A318" t="str">
            <v>NormalBajaAltoNo13</v>
          </cell>
          <cell r="B318" t="str">
            <v>Normal</v>
          </cell>
          <cell r="C318" t="str">
            <v>Baja</v>
          </cell>
          <cell r="D318" t="str">
            <v>Alto</v>
          </cell>
          <cell r="E318" t="str">
            <v>No</v>
          </cell>
          <cell r="F318" t="str">
            <v>13.   Realizar validación y confirmación técnica</v>
          </cell>
          <cell r="G318" t="str">
            <v>Requiere</v>
          </cell>
        </row>
        <row r="319">
          <cell r="A319" t="str">
            <v>NormalBajaAltoNo14</v>
          </cell>
          <cell r="B319" t="str">
            <v>Normal</v>
          </cell>
          <cell r="C319" t="str">
            <v>Baja</v>
          </cell>
          <cell r="D319" t="str">
            <v>Alto</v>
          </cell>
          <cell r="E319" t="str">
            <v>No</v>
          </cell>
          <cell r="F319" t="str">
            <v>14.   Validación de Performance pre y post cambio</v>
          </cell>
          <cell r="G319" t="str">
            <v>No requiere</v>
          </cell>
        </row>
        <row r="320">
          <cell r="A320" t="str">
            <v>NormalBajaAltoNo2.</v>
          </cell>
          <cell r="B320" t="str">
            <v>Normal</v>
          </cell>
          <cell r="C320" t="str">
            <v>Baja</v>
          </cell>
          <cell r="D320" t="str">
            <v>Alto</v>
          </cell>
          <cell r="E320" t="str">
            <v>No</v>
          </cell>
          <cell r="F320" t="str">
            <v>2.     Checklist Certificado</v>
          </cell>
          <cell r="G320" t="str">
            <v>No requiere</v>
          </cell>
        </row>
        <row r="321">
          <cell r="A321" t="str">
            <v>NormalBajaAltoNo3.</v>
          </cell>
          <cell r="B321" t="str">
            <v>Normal</v>
          </cell>
          <cell r="C321" t="str">
            <v>Baja</v>
          </cell>
          <cell r="D321" t="str">
            <v>Alto</v>
          </cell>
          <cell r="E321" t="str">
            <v>No</v>
          </cell>
          <cell r="F321" t="str">
            <v>3.     Rollback Certificado en ambiente previo</v>
          </cell>
          <cell r="G321" t="str">
            <v>No requiere</v>
          </cell>
        </row>
        <row r="322">
          <cell r="A322" t="str">
            <v>NormalBajaAltoNo4.</v>
          </cell>
          <cell r="B322" t="str">
            <v>Normal</v>
          </cell>
          <cell r="C322" t="str">
            <v>Baja</v>
          </cell>
          <cell r="D322" t="str">
            <v>Alto</v>
          </cell>
          <cell r="E322" t="str">
            <v>No</v>
          </cell>
          <cell r="F322" t="str">
            <v xml:space="preserve">4.     Confirmación de ejecución/funcionamiento correcto en Ambiente Previo </v>
          </cell>
          <cell r="G322" t="str">
            <v>Requiere</v>
          </cell>
        </row>
        <row r="323">
          <cell r="A323" t="str">
            <v>NormalBajaAltoNo6.</v>
          </cell>
          <cell r="B323" t="str">
            <v>Normal</v>
          </cell>
          <cell r="C323" t="str">
            <v>Baja</v>
          </cell>
          <cell r="D323" t="str">
            <v>Alto</v>
          </cell>
          <cell r="E323" t="str">
            <v>No</v>
          </cell>
          <cell r="F323" t="str">
            <v>6.   Evaluación de Riesgos TI</v>
          </cell>
          <cell r="G323" t="str">
            <v>No requiere</v>
          </cell>
        </row>
        <row r="324">
          <cell r="A324" t="str">
            <v>NormalBajaAltoNo7.</v>
          </cell>
          <cell r="B324" t="str">
            <v>Normal</v>
          </cell>
          <cell r="C324" t="str">
            <v>Baja</v>
          </cell>
          <cell r="D324" t="str">
            <v>Alto</v>
          </cell>
          <cell r="E324" t="str">
            <v>No</v>
          </cell>
          <cell r="F324" t="str">
            <v>7.     Análisis de reportes financieros</v>
          </cell>
          <cell r="G324" t="str">
            <v>No requiere</v>
          </cell>
        </row>
        <row r="325">
          <cell r="A325" t="str">
            <v>NormalBajaAltoNo8.</v>
          </cell>
          <cell r="B325" t="str">
            <v>Normal</v>
          </cell>
          <cell r="C325" t="str">
            <v>Baja</v>
          </cell>
          <cell r="D325" t="str">
            <v>Alto</v>
          </cell>
          <cell r="E325" t="str">
            <v>No</v>
          </cell>
          <cell r="F325" t="str">
            <v>8.     Garantizar soporte Estándar</v>
          </cell>
          <cell r="G325" t="str">
            <v>Requiere</v>
          </cell>
        </row>
        <row r="326">
          <cell r="A326" t="str">
            <v>NormalBajaAltoNo9.</v>
          </cell>
          <cell r="B326" t="str">
            <v>Normal</v>
          </cell>
          <cell r="C326" t="str">
            <v>Baja</v>
          </cell>
          <cell r="D326" t="str">
            <v>Alto</v>
          </cell>
          <cell r="E326" t="str">
            <v>No</v>
          </cell>
          <cell r="F326" t="str">
            <v xml:space="preserve">9.     Ofrecer Soporte físico </v>
          </cell>
          <cell r="G326" t="str">
            <v>Requiere</v>
          </cell>
        </row>
        <row r="327">
          <cell r="A327" t="str">
            <v>NormalBajaAltoSi1.</v>
          </cell>
          <cell r="B327" t="str">
            <v>Normal</v>
          </cell>
          <cell r="C327" t="str">
            <v>Baja</v>
          </cell>
          <cell r="D327" t="str">
            <v>Alto</v>
          </cell>
          <cell r="E327" t="str">
            <v>Si</v>
          </cell>
          <cell r="F327" t="str">
            <v xml:space="preserve">1.     Documentación requerida estándar </v>
          </cell>
          <cell r="G327" t="str">
            <v>Requiere</v>
          </cell>
        </row>
        <row r="328">
          <cell r="A328" t="str">
            <v>NormalBajaAltoSi10</v>
          </cell>
          <cell r="B328" t="str">
            <v>Normal</v>
          </cell>
          <cell r="C328" t="str">
            <v>Baja</v>
          </cell>
          <cell r="D328" t="str">
            <v>Alto</v>
          </cell>
          <cell r="E328" t="str">
            <v>Si</v>
          </cell>
          <cell r="F328" t="str">
            <v xml:space="preserve">10.     Ofrecer Soporte remoto </v>
          </cell>
          <cell r="G328" t="str">
            <v>No requiere</v>
          </cell>
        </row>
        <row r="329">
          <cell r="A329" t="str">
            <v>NormalBajaAltoSi11</v>
          </cell>
          <cell r="B329" t="str">
            <v>Normal</v>
          </cell>
          <cell r="C329" t="str">
            <v>Baja</v>
          </cell>
          <cell r="D329" t="str">
            <v>Alto</v>
          </cell>
          <cell r="E329" t="str">
            <v>Si</v>
          </cell>
          <cell r="F329" t="str">
            <v>11.     Ofrecer Soporte de vida temprana (ELS)</v>
          </cell>
          <cell r="G329" t="str">
            <v>No requiere</v>
          </cell>
        </row>
        <row r="330">
          <cell r="A330" t="str">
            <v>NormalBajaAltoSi12</v>
          </cell>
          <cell r="B330" t="str">
            <v>Normal</v>
          </cell>
          <cell r="C330" t="str">
            <v>Baja</v>
          </cell>
          <cell r="D330" t="str">
            <v>Alto</v>
          </cell>
          <cell r="E330" t="str">
            <v>Si</v>
          </cell>
          <cell r="F330" t="str">
            <v xml:space="preserve">12.     Realizar validación y confirmación funcional </v>
          </cell>
          <cell r="G330" t="str">
            <v>Requiere</v>
          </cell>
        </row>
        <row r="331">
          <cell r="A331" t="str">
            <v>NormalBajaAltoSi13</v>
          </cell>
          <cell r="B331" t="str">
            <v>Normal</v>
          </cell>
          <cell r="C331" t="str">
            <v>Baja</v>
          </cell>
          <cell r="D331" t="str">
            <v>Alto</v>
          </cell>
          <cell r="E331" t="str">
            <v>Si</v>
          </cell>
          <cell r="F331" t="str">
            <v>13.   Realizar validación y confirmación técnica</v>
          </cell>
          <cell r="G331" t="str">
            <v>Requiere</v>
          </cell>
        </row>
        <row r="332">
          <cell r="A332" t="str">
            <v>NormalBajaAltoSi14</v>
          </cell>
          <cell r="B332" t="str">
            <v>Normal</v>
          </cell>
          <cell r="C332" t="str">
            <v>Baja</v>
          </cell>
          <cell r="D332" t="str">
            <v>Alto</v>
          </cell>
          <cell r="E332" t="str">
            <v>Si</v>
          </cell>
          <cell r="F332" t="str">
            <v>14.   Validación de Performance pre y post cambio</v>
          </cell>
          <cell r="G332" t="str">
            <v>No requiere</v>
          </cell>
        </row>
        <row r="333">
          <cell r="A333" t="str">
            <v>NormalBajaAltoSi2.</v>
          </cell>
          <cell r="B333" t="str">
            <v>Normal</v>
          </cell>
          <cell r="C333" t="str">
            <v>Baja</v>
          </cell>
          <cell r="D333" t="str">
            <v>Alto</v>
          </cell>
          <cell r="E333" t="str">
            <v>Si</v>
          </cell>
          <cell r="F333" t="str">
            <v>2.     Checklist Certificado</v>
          </cell>
          <cell r="G333" t="str">
            <v>No requiere</v>
          </cell>
        </row>
        <row r="334">
          <cell r="A334" t="str">
            <v>NormalBajaAltoSi3.</v>
          </cell>
          <cell r="B334" t="str">
            <v>Normal</v>
          </cell>
          <cell r="C334" t="str">
            <v>Baja</v>
          </cell>
          <cell r="D334" t="str">
            <v>Alto</v>
          </cell>
          <cell r="E334" t="str">
            <v>Si</v>
          </cell>
          <cell r="F334" t="str">
            <v>3.     Rollback Certificado en ambiente previo</v>
          </cell>
          <cell r="G334" t="str">
            <v>No requiere</v>
          </cell>
        </row>
        <row r="335">
          <cell r="A335" t="str">
            <v>NormalBajaAltoSi4.</v>
          </cell>
          <cell r="B335" t="str">
            <v>Normal</v>
          </cell>
          <cell r="C335" t="str">
            <v>Baja</v>
          </cell>
          <cell r="D335" t="str">
            <v>Alto</v>
          </cell>
          <cell r="E335" t="str">
            <v>Si</v>
          </cell>
          <cell r="F335" t="str">
            <v xml:space="preserve">4.     Confirmación de ejecución/funcionamiento correcto en Ambiente Previo </v>
          </cell>
          <cell r="G335" t="str">
            <v>Requiere</v>
          </cell>
        </row>
        <row r="336">
          <cell r="A336" t="str">
            <v>NormalBajaAltoSi6.</v>
          </cell>
          <cell r="B336" t="str">
            <v>Normal</v>
          </cell>
          <cell r="C336" t="str">
            <v>Baja</v>
          </cell>
          <cell r="D336" t="str">
            <v>Alto</v>
          </cell>
          <cell r="E336" t="str">
            <v>Si</v>
          </cell>
          <cell r="F336" t="str">
            <v>6.   Evaluación de Riesgos TI</v>
          </cell>
          <cell r="G336" t="str">
            <v>No requiere</v>
          </cell>
        </row>
        <row r="337">
          <cell r="A337" t="str">
            <v>NormalBajaAltoSi7.</v>
          </cell>
          <cell r="B337" t="str">
            <v>Normal</v>
          </cell>
          <cell r="C337" t="str">
            <v>Baja</v>
          </cell>
          <cell r="D337" t="str">
            <v>Alto</v>
          </cell>
          <cell r="E337" t="str">
            <v>Si</v>
          </cell>
          <cell r="F337" t="str">
            <v>7.     Análisis de reportes financieros</v>
          </cell>
          <cell r="G337" t="str">
            <v>No requiere</v>
          </cell>
        </row>
        <row r="338">
          <cell r="A338" t="str">
            <v>NormalBajaAltoSi8.</v>
          </cell>
          <cell r="B338" t="str">
            <v>Normal</v>
          </cell>
          <cell r="C338" t="str">
            <v>Baja</v>
          </cell>
          <cell r="D338" t="str">
            <v>Alto</v>
          </cell>
          <cell r="E338" t="str">
            <v>Si</v>
          </cell>
          <cell r="F338" t="str">
            <v>8.     Garantizar soporte Estándar</v>
          </cell>
          <cell r="G338" t="str">
            <v>Requiere</v>
          </cell>
        </row>
        <row r="339">
          <cell r="A339" t="str">
            <v>NormalBajaAltoSi9.</v>
          </cell>
          <cell r="B339" t="str">
            <v>Normal</v>
          </cell>
          <cell r="C339" t="str">
            <v>Baja</v>
          </cell>
          <cell r="D339" t="str">
            <v>Alto</v>
          </cell>
          <cell r="E339" t="str">
            <v>Si</v>
          </cell>
          <cell r="F339" t="str">
            <v xml:space="preserve">9.     Ofrecer Soporte físico </v>
          </cell>
          <cell r="G339" t="str">
            <v>Requiere</v>
          </cell>
        </row>
        <row r="340">
          <cell r="A340" t="str">
            <v>NormalBajaBajoNo1.</v>
          </cell>
          <cell r="B340" t="str">
            <v>Normal</v>
          </cell>
          <cell r="C340" t="str">
            <v>Baja</v>
          </cell>
          <cell r="D340" t="str">
            <v>Bajo</v>
          </cell>
          <cell r="E340" t="str">
            <v>No</v>
          </cell>
          <cell r="F340" t="str">
            <v xml:space="preserve">1.     Documentación requerida estándar </v>
          </cell>
          <cell r="G340" t="str">
            <v>Requiere</v>
          </cell>
        </row>
        <row r="341">
          <cell r="A341" t="str">
            <v>NormalBajaBajoNo10</v>
          </cell>
          <cell r="B341" t="str">
            <v>Normal</v>
          </cell>
          <cell r="C341" t="str">
            <v>Baja</v>
          </cell>
          <cell r="D341" t="str">
            <v>Bajo</v>
          </cell>
          <cell r="E341" t="str">
            <v>No</v>
          </cell>
          <cell r="F341" t="str">
            <v xml:space="preserve">10.     Ofrecer Soporte remoto </v>
          </cell>
          <cell r="G341" t="str">
            <v>Requiere</v>
          </cell>
        </row>
        <row r="342">
          <cell r="A342" t="str">
            <v>NormalBajaBajoNo11</v>
          </cell>
          <cell r="B342" t="str">
            <v>Normal</v>
          </cell>
          <cell r="C342" t="str">
            <v>Baja</v>
          </cell>
          <cell r="D342" t="str">
            <v>Bajo</v>
          </cell>
          <cell r="E342" t="str">
            <v>No</v>
          </cell>
          <cell r="F342" t="str">
            <v>11.     Ofrecer Soporte de vida temprana (ELS)</v>
          </cell>
          <cell r="G342" t="str">
            <v>No requiere</v>
          </cell>
        </row>
        <row r="343">
          <cell r="A343" t="str">
            <v>NormalBajaBajoNo12</v>
          </cell>
          <cell r="B343" t="str">
            <v>Normal</v>
          </cell>
          <cell r="C343" t="str">
            <v>Baja</v>
          </cell>
          <cell r="D343" t="str">
            <v>Bajo</v>
          </cell>
          <cell r="E343" t="str">
            <v>No</v>
          </cell>
          <cell r="F343" t="str">
            <v xml:space="preserve">12.     Realizar validación y confirmación funcional </v>
          </cell>
          <cell r="G343" t="str">
            <v>Requiere</v>
          </cell>
        </row>
        <row r="344">
          <cell r="A344" t="str">
            <v>NormalBajaBajoNo13</v>
          </cell>
          <cell r="B344" t="str">
            <v>Normal</v>
          </cell>
          <cell r="C344" t="str">
            <v>Baja</v>
          </cell>
          <cell r="D344" t="str">
            <v>Bajo</v>
          </cell>
          <cell r="E344" t="str">
            <v>No</v>
          </cell>
          <cell r="F344" t="str">
            <v>13.   Realizar validación y confirmación técnica</v>
          </cell>
          <cell r="G344" t="str">
            <v>Requiere</v>
          </cell>
        </row>
        <row r="345">
          <cell r="A345" t="str">
            <v>NormalBajaBajoNo14</v>
          </cell>
          <cell r="B345" t="str">
            <v>Normal</v>
          </cell>
          <cell r="C345" t="str">
            <v>Baja</v>
          </cell>
          <cell r="D345" t="str">
            <v>Bajo</v>
          </cell>
          <cell r="E345" t="str">
            <v>No</v>
          </cell>
          <cell r="F345" t="str">
            <v>14.   Validación de Performance pre y post cambio</v>
          </cell>
          <cell r="G345" t="str">
            <v>No requiere</v>
          </cell>
        </row>
        <row r="346">
          <cell r="A346" t="str">
            <v>NormalBajaBajoNo2.</v>
          </cell>
          <cell r="B346" t="str">
            <v>Normal</v>
          </cell>
          <cell r="C346" t="str">
            <v>Baja</v>
          </cell>
          <cell r="D346" t="str">
            <v>Bajo</v>
          </cell>
          <cell r="E346" t="str">
            <v>No</v>
          </cell>
          <cell r="F346" t="str">
            <v>2.     Checklist Certificado</v>
          </cell>
          <cell r="G346" t="str">
            <v>No requiere</v>
          </cell>
        </row>
        <row r="347">
          <cell r="A347" t="str">
            <v>NormalBajaBajoNo3.</v>
          </cell>
          <cell r="B347" t="str">
            <v>Normal</v>
          </cell>
          <cell r="C347" t="str">
            <v>Baja</v>
          </cell>
          <cell r="D347" t="str">
            <v>Bajo</v>
          </cell>
          <cell r="E347" t="str">
            <v>No</v>
          </cell>
          <cell r="F347" t="str">
            <v>3.     Rollback Certificado en ambiente previo</v>
          </cell>
          <cell r="G347" t="str">
            <v>No requiere</v>
          </cell>
        </row>
        <row r="348">
          <cell r="A348" t="str">
            <v>NormalBajaBajoNo4.</v>
          </cell>
          <cell r="B348" t="str">
            <v>Normal</v>
          </cell>
          <cell r="C348" t="str">
            <v>Baja</v>
          </cell>
          <cell r="D348" t="str">
            <v>Bajo</v>
          </cell>
          <cell r="E348" t="str">
            <v>No</v>
          </cell>
          <cell r="F348" t="str">
            <v xml:space="preserve">4.     Confirmación de ejecución/funcionamiento correcto en Ambiente Previo </v>
          </cell>
          <cell r="G348" t="str">
            <v>No requiere</v>
          </cell>
        </row>
        <row r="349">
          <cell r="A349" t="str">
            <v>NormalBajaBajoNo6.</v>
          </cell>
          <cell r="B349" t="str">
            <v>Normal</v>
          </cell>
          <cell r="C349" t="str">
            <v>Baja</v>
          </cell>
          <cell r="D349" t="str">
            <v>Bajo</v>
          </cell>
          <cell r="E349" t="str">
            <v>No</v>
          </cell>
          <cell r="F349" t="str">
            <v>6.   Evaluación de Riesgos TI</v>
          </cell>
          <cell r="G349" t="str">
            <v>No requiere</v>
          </cell>
        </row>
        <row r="350">
          <cell r="A350" t="str">
            <v>NormalBajaBajoNo7.</v>
          </cell>
          <cell r="B350" t="str">
            <v>Normal</v>
          </cell>
          <cell r="C350" t="str">
            <v>Baja</v>
          </cell>
          <cell r="D350" t="str">
            <v>Bajo</v>
          </cell>
          <cell r="E350" t="str">
            <v>No</v>
          </cell>
          <cell r="F350" t="str">
            <v>7.     Análisis de reportes financieros</v>
          </cell>
          <cell r="G350" t="str">
            <v>No requiere</v>
          </cell>
        </row>
        <row r="351">
          <cell r="A351" t="str">
            <v>NormalBajaBajoNo8.</v>
          </cell>
          <cell r="B351" t="str">
            <v>Normal</v>
          </cell>
          <cell r="C351" t="str">
            <v>Baja</v>
          </cell>
          <cell r="D351" t="str">
            <v>Bajo</v>
          </cell>
          <cell r="E351" t="str">
            <v>No</v>
          </cell>
          <cell r="F351" t="str">
            <v>8.     Garantizar soporte Estándar</v>
          </cell>
          <cell r="G351" t="str">
            <v>Requiere</v>
          </cell>
        </row>
        <row r="352">
          <cell r="A352" t="str">
            <v>NormalBajaBajoNo9.</v>
          </cell>
          <cell r="B352" t="str">
            <v>Normal</v>
          </cell>
          <cell r="C352" t="str">
            <v>Baja</v>
          </cell>
          <cell r="D352" t="str">
            <v>Bajo</v>
          </cell>
          <cell r="E352" t="str">
            <v>No</v>
          </cell>
          <cell r="F352" t="str">
            <v xml:space="preserve">9.     Ofrecer Soporte físico </v>
          </cell>
          <cell r="G352" t="str">
            <v>No requiere</v>
          </cell>
        </row>
        <row r="353">
          <cell r="A353" t="str">
            <v>NormalBajaBajoSi1.</v>
          </cell>
          <cell r="B353" t="str">
            <v>Normal</v>
          </cell>
          <cell r="C353" t="str">
            <v>Baja</v>
          </cell>
          <cell r="D353" t="str">
            <v>Bajo</v>
          </cell>
          <cell r="E353" t="str">
            <v>Si</v>
          </cell>
          <cell r="F353" t="str">
            <v xml:space="preserve">1.     Documentación requerida estándar </v>
          </cell>
          <cell r="G353" t="str">
            <v>Requiere</v>
          </cell>
        </row>
        <row r="354">
          <cell r="A354" t="str">
            <v>NormalBajaBajoSi10</v>
          </cell>
          <cell r="B354" t="str">
            <v>Normal</v>
          </cell>
          <cell r="C354" t="str">
            <v>Baja</v>
          </cell>
          <cell r="D354" t="str">
            <v>Bajo</v>
          </cell>
          <cell r="E354" t="str">
            <v>Si</v>
          </cell>
          <cell r="F354" t="str">
            <v xml:space="preserve">10.     Ofrecer Soporte remoto </v>
          </cell>
          <cell r="G354" t="str">
            <v>Requiere</v>
          </cell>
        </row>
        <row r="355">
          <cell r="A355" t="str">
            <v>NormalBajaBajoSi11</v>
          </cell>
          <cell r="B355" t="str">
            <v>Normal</v>
          </cell>
          <cell r="C355" t="str">
            <v>Baja</v>
          </cell>
          <cell r="D355" t="str">
            <v>Bajo</v>
          </cell>
          <cell r="E355" t="str">
            <v>Si</v>
          </cell>
          <cell r="F355" t="str">
            <v>11.     Ofrecer Soporte de vida temprana (ELS)</v>
          </cell>
          <cell r="G355" t="str">
            <v>No requiere</v>
          </cell>
        </row>
        <row r="356">
          <cell r="A356" t="str">
            <v>NormalBajaBajoSi12</v>
          </cell>
          <cell r="B356" t="str">
            <v>Normal</v>
          </cell>
          <cell r="C356" t="str">
            <v>Baja</v>
          </cell>
          <cell r="D356" t="str">
            <v>Bajo</v>
          </cell>
          <cell r="E356" t="str">
            <v>Si</v>
          </cell>
          <cell r="F356" t="str">
            <v xml:space="preserve">12.     Realizar validación y confirmación funcional </v>
          </cell>
          <cell r="G356" t="str">
            <v>Requiere</v>
          </cell>
        </row>
        <row r="357">
          <cell r="A357" t="str">
            <v>NormalBajaBajoSi13</v>
          </cell>
          <cell r="B357" t="str">
            <v>Normal</v>
          </cell>
          <cell r="C357" t="str">
            <v>Baja</v>
          </cell>
          <cell r="D357" t="str">
            <v>Bajo</v>
          </cell>
          <cell r="E357" t="str">
            <v>Si</v>
          </cell>
          <cell r="F357" t="str">
            <v>13.   Realizar validación y confirmación técnica</v>
          </cell>
          <cell r="G357" t="str">
            <v>Requiere</v>
          </cell>
        </row>
        <row r="358">
          <cell r="A358" t="str">
            <v>NormalBajaBajoSi14</v>
          </cell>
          <cell r="B358" t="str">
            <v>Normal</v>
          </cell>
          <cell r="C358" t="str">
            <v>Baja</v>
          </cell>
          <cell r="D358" t="str">
            <v>Bajo</v>
          </cell>
          <cell r="E358" t="str">
            <v>Si</v>
          </cell>
          <cell r="F358" t="str">
            <v>14.   Validación de Performance pre y post cambio</v>
          </cell>
          <cell r="G358" t="str">
            <v>No requiere</v>
          </cell>
        </row>
        <row r="359">
          <cell r="A359" t="str">
            <v>NormalBajaBajoSi2.</v>
          </cell>
          <cell r="B359" t="str">
            <v>Normal</v>
          </cell>
          <cell r="C359" t="str">
            <v>Baja</v>
          </cell>
          <cell r="D359" t="str">
            <v>Bajo</v>
          </cell>
          <cell r="E359" t="str">
            <v>Si</v>
          </cell>
          <cell r="F359" t="str">
            <v>2.     Checklist Certificado</v>
          </cell>
          <cell r="G359" t="str">
            <v>No requiere</v>
          </cell>
        </row>
        <row r="360">
          <cell r="A360" t="str">
            <v>NormalBajaBajoSi3.</v>
          </cell>
          <cell r="B360" t="str">
            <v>Normal</v>
          </cell>
          <cell r="C360" t="str">
            <v>Baja</v>
          </cell>
          <cell r="D360" t="str">
            <v>Bajo</v>
          </cell>
          <cell r="E360" t="str">
            <v>Si</v>
          </cell>
          <cell r="F360" t="str">
            <v>3.     Rollback Certificado en ambiente previo</v>
          </cell>
          <cell r="G360" t="str">
            <v>No requiere</v>
          </cell>
        </row>
        <row r="361">
          <cell r="A361" t="str">
            <v>NormalBajaBajoSi4.</v>
          </cell>
          <cell r="B361" t="str">
            <v>Normal</v>
          </cell>
          <cell r="C361" t="str">
            <v>Baja</v>
          </cell>
          <cell r="D361" t="str">
            <v>Bajo</v>
          </cell>
          <cell r="E361" t="str">
            <v>Si</v>
          </cell>
          <cell r="F361" t="str">
            <v xml:space="preserve">4.     Confirmación de ejecución/funcionamiento correcto en Ambiente Previo </v>
          </cell>
          <cell r="G361" t="str">
            <v>Requiere</v>
          </cell>
        </row>
        <row r="362">
          <cell r="A362" t="str">
            <v>NormalBajaBajoSi6.</v>
          </cell>
          <cell r="B362" t="str">
            <v>Normal</v>
          </cell>
          <cell r="C362" t="str">
            <v>Baja</v>
          </cell>
          <cell r="D362" t="str">
            <v>Bajo</v>
          </cell>
          <cell r="E362" t="str">
            <v>Si</v>
          </cell>
          <cell r="F362" t="str">
            <v>6.   Evaluación de Riesgos TI</v>
          </cell>
          <cell r="G362" t="str">
            <v>No requiere</v>
          </cell>
        </row>
        <row r="363">
          <cell r="A363" t="str">
            <v>NormalBajaBajoSi7.</v>
          </cell>
          <cell r="B363" t="str">
            <v>Normal</v>
          </cell>
          <cell r="C363" t="str">
            <v>Baja</v>
          </cell>
          <cell r="D363" t="str">
            <v>Bajo</v>
          </cell>
          <cell r="E363" t="str">
            <v>Si</v>
          </cell>
          <cell r="F363" t="str">
            <v>7.     Análisis de reportes financieros</v>
          </cell>
          <cell r="G363" t="str">
            <v>No requiere</v>
          </cell>
        </row>
        <row r="364">
          <cell r="A364" t="str">
            <v>NormalBajaBajoSi8.</v>
          </cell>
          <cell r="B364" t="str">
            <v>Normal</v>
          </cell>
          <cell r="C364" t="str">
            <v>Baja</v>
          </cell>
          <cell r="D364" t="str">
            <v>Bajo</v>
          </cell>
          <cell r="E364" t="str">
            <v>Si</v>
          </cell>
          <cell r="F364" t="str">
            <v>8.     Garantizar soporte Estándar</v>
          </cell>
          <cell r="G364" t="str">
            <v>Requiere</v>
          </cell>
        </row>
        <row r="365">
          <cell r="A365" t="str">
            <v>NormalBajaBajoSi9.</v>
          </cell>
          <cell r="B365" t="str">
            <v>Normal</v>
          </cell>
          <cell r="C365" t="str">
            <v>Baja</v>
          </cell>
          <cell r="D365" t="str">
            <v>Bajo</v>
          </cell>
          <cell r="E365" t="str">
            <v>Si</v>
          </cell>
          <cell r="F365" t="str">
            <v xml:space="preserve">9.     Ofrecer Soporte físico </v>
          </cell>
          <cell r="G365" t="str">
            <v>No requiere</v>
          </cell>
        </row>
        <row r="366">
          <cell r="A366" t="str">
            <v>NormalBajaMedioNo1.</v>
          </cell>
          <cell r="B366" t="str">
            <v>Normal</v>
          </cell>
          <cell r="C366" t="str">
            <v>Baja</v>
          </cell>
          <cell r="D366" t="str">
            <v>Medio</v>
          </cell>
          <cell r="E366" t="str">
            <v>No</v>
          </cell>
          <cell r="F366" t="str">
            <v xml:space="preserve">1.     Documentación requerida estándar </v>
          </cell>
          <cell r="G366" t="str">
            <v>Requiere</v>
          </cell>
        </row>
        <row r="367">
          <cell r="A367" t="str">
            <v>NormalBajaMedioNo10</v>
          </cell>
          <cell r="B367" t="str">
            <v>Normal</v>
          </cell>
          <cell r="C367" t="str">
            <v>Baja</v>
          </cell>
          <cell r="D367" t="str">
            <v>Medio</v>
          </cell>
          <cell r="E367" t="str">
            <v>No</v>
          </cell>
          <cell r="F367" t="str">
            <v xml:space="preserve">10.     Ofrecer Soporte remoto </v>
          </cell>
          <cell r="G367" t="str">
            <v>Requiere</v>
          </cell>
        </row>
        <row r="368">
          <cell r="A368" t="str">
            <v>NormalBajaMedioNo11</v>
          </cell>
          <cell r="B368" t="str">
            <v>Normal</v>
          </cell>
          <cell r="C368" t="str">
            <v>Baja</v>
          </cell>
          <cell r="D368" t="str">
            <v>Medio</v>
          </cell>
          <cell r="E368" t="str">
            <v>No</v>
          </cell>
          <cell r="F368" t="str">
            <v>11.     Ofrecer Soporte de vida temprana (ELS)</v>
          </cell>
          <cell r="G368" t="str">
            <v>No requiere</v>
          </cell>
        </row>
        <row r="369">
          <cell r="A369" t="str">
            <v>NormalBajaMedioNo12</v>
          </cell>
          <cell r="B369" t="str">
            <v>Normal</v>
          </cell>
          <cell r="C369" t="str">
            <v>Baja</v>
          </cell>
          <cell r="D369" t="str">
            <v>Medio</v>
          </cell>
          <cell r="E369" t="str">
            <v>No</v>
          </cell>
          <cell r="F369" t="str">
            <v xml:space="preserve">12.     Realizar validación y confirmación funcional </v>
          </cell>
          <cell r="G369" t="str">
            <v>Requiere</v>
          </cell>
        </row>
        <row r="370">
          <cell r="A370" t="str">
            <v>NormalBajaMedioNo13</v>
          </cell>
          <cell r="B370" t="str">
            <v>Normal</v>
          </cell>
          <cell r="C370" t="str">
            <v>Baja</v>
          </cell>
          <cell r="D370" t="str">
            <v>Medio</v>
          </cell>
          <cell r="E370" t="str">
            <v>No</v>
          </cell>
          <cell r="F370" t="str">
            <v>13.   Realizar validación y confirmación técnica</v>
          </cell>
          <cell r="G370" t="str">
            <v>Requiere</v>
          </cell>
        </row>
        <row r="371">
          <cell r="A371" t="str">
            <v>NormalBajaMedioNo14</v>
          </cell>
          <cell r="B371" t="str">
            <v>Normal</v>
          </cell>
          <cell r="C371" t="str">
            <v>Baja</v>
          </cell>
          <cell r="D371" t="str">
            <v>Medio</v>
          </cell>
          <cell r="E371" t="str">
            <v>No</v>
          </cell>
          <cell r="F371" t="str">
            <v>14.   Validación de Performance pre y post cambio</v>
          </cell>
          <cell r="G371" t="str">
            <v>No requiere</v>
          </cell>
        </row>
        <row r="372">
          <cell r="A372" t="str">
            <v>NormalBajaMedioNo2.</v>
          </cell>
          <cell r="B372" t="str">
            <v>Normal</v>
          </cell>
          <cell r="C372" t="str">
            <v>Baja</v>
          </cell>
          <cell r="D372" t="str">
            <v>Medio</v>
          </cell>
          <cell r="E372" t="str">
            <v>No</v>
          </cell>
          <cell r="F372" t="str">
            <v>2.     Checklist Certificado</v>
          </cell>
          <cell r="G372" t="str">
            <v>No requiere</v>
          </cell>
        </row>
        <row r="373">
          <cell r="A373" t="str">
            <v>NormalBajaMedioNo3.</v>
          </cell>
          <cell r="B373" t="str">
            <v>Normal</v>
          </cell>
          <cell r="C373" t="str">
            <v>Baja</v>
          </cell>
          <cell r="D373" t="str">
            <v>Medio</v>
          </cell>
          <cell r="E373" t="str">
            <v>No</v>
          </cell>
          <cell r="F373" t="str">
            <v>3.     Rollback Certificado en ambiente previo</v>
          </cell>
          <cell r="G373" t="str">
            <v>No requiere</v>
          </cell>
        </row>
        <row r="374">
          <cell r="A374" t="str">
            <v>NormalBajaMedioNo4.</v>
          </cell>
          <cell r="B374" t="str">
            <v>Normal</v>
          </cell>
          <cell r="C374" t="str">
            <v>Baja</v>
          </cell>
          <cell r="D374" t="str">
            <v>Medio</v>
          </cell>
          <cell r="E374" t="str">
            <v>No</v>
          </cell>
          <cell r="F374" t="str">
            <v xml:space="preserve">4.     Confirmación de ejecución/funcionamiento correcto en Ambiente Previo </v>
          </cell>
          <cell r="G374" t="str">
            <v>No requiere</v>
          </cell>
        </row>
        <row r="375">
          <cell r="A375" t="str">
            <v>NormalBajaMedioNo6.</v>
          </cell>
          <cell r="B375" t="str">
            <v>Normal</v>
          </cell>
          <cell r="C375" t="str">
            <v>Baja</v>
          </cell>
          <cell r="D375" t="str">
            <v>Medio</v>
          </cell>
          <cell r="E375" t="str">
            <v>No</v>
          </cell>
          <cell r="F375" t="str">
            <v>6.   Evaluación de Riesgos TI</v>
          </cell>
          <cell r="G375" t="str">
            <v>No requiere</v>
          </cell>
        </row>
        <row r="376">
          <cell r="A376" t="str">
            <v>NormalBajaMedioNo7.</v>
          </cell>
          <cell r="B376" t="str">
            <v>Normal</v>
          </cell>
          <cell r="C376" t="str">
            <v>Baja</v>
          </cell>
          <cell r="D376" t="str">
            <v>Medio</v>
          </cell>
          <cell r="E376" t="str">
            <v>No</v>
          </cell>
          <cell r="F376" t="str">
            <v>7.     Análisis de reportes financieros</v>
          </cell>
          <cell r="G376" t="str">
            <v>No requiere</v>
          </cell>
        </row>
        <row r="377">
          <cell r="A377" t="str">
            <v>NormalBajaMedioNo8.</v>
          </cell>
          <cell r="B377" t="str">
            <v>Normal</v>
          </cell>
          <cell r="C377" t="str">
            <v>Baja</v>
          </cell>
          <cell r="D377" t="str">
            <v>Medio</v>
          </cell>
          <cell r="E377" t="str">
            <v>No</v>
          </cell>
          <cell r="F377" t="str">
            <v>8.     Garantizar soporte Estándar</v>
          </cell>
          <cell r="G377" t="str">
            <v>Requiere</v>
          </cell>
        </row>
        <row r="378">
          <cell r="A378" t="str">
            <v>NormalBajaMedioNo9.</v>
          </cell>
          <cell r="B378" t="str">
            <v>Normal</v>
          </cell>
          <cell r="C378" t="str">
            <v>Baja</v>
          </cell>
          <cell r="D378" t="str">
            <v>Medio</v>
          </cell>
          <cell r="E378" t="str">
            <v>No</v>
          </cell>
          <cell r="F378" t="str">
            <v xml:space="preserve">9.     Ofrecer Soporte físico </v>
          </cell>
          <cell r="G378" t="str">
            <v>No requiere</v>
          </cell>
        </row>
        <row r="379">
          <cell r="A379" t="str">
            <v>NormalBajaMedioSi1.</v>
          </cell>
          <cell r="B379" t="str">
            <v>Normal</v>
          </cell>
          <cell r="C379" t="str">
            <v>Baja</v>
          </cell>
          <cell r="D379" t="str">
            <v>Medio</v>
          </cell>
          <cell r="E379" t="str">
            <v>Si</v>
          </cell>
          <cell r="F379" t="str">
            <v xml:space="preserve">1.     Documentación requerida estándar </v>
          </cell>
          <cell r="G379" t="str">
            <v>Requiere</v>
          </cell>
        </row>
        <row r="380">
          <cell r="A380" t="str">
            <v>NormalBajaMedioSi10</v>
          </cell>
          <cell r="B380" t="str">
            <v>Normal</v>
          </cell>
          <cell r="C380" t="str">
            <v>Baja</v>
          </cell>
          <cell r="D380" t="str">
            <v>Medio</v>
          </cell>
          <cell r="E380" t="str">
            <v>Si</v>
          </cell>
          <cell r="F380" t="str">
            <v xml:space="preserve">10.     Ofrecer Soporte remoto </v>
          </cell>
          <cell r="G380" t="str">
            <v>Requiere</v>
          </cell>
        </row>
        <row r="381">
          <cell r="A381" t="str">
            <v>NormalBajaMedioSi11</v>
          </cell>
          <cell r="B381" t="str">
            <v>Normal</v>
          </cell>
          <cell r="C381" t="str">
            <v>Baja</v>
          </cell>
          <cell r="D381" t="str">
            <v>Medio</v>
          </cell>
          <cell r="E381" t="str">
            <v>Si</v>
          </cell>
          <cell r="F381" t="str">
            <v>11.     Ofrecer Soporte de vida temprana (ELS)</v>
          </cell>
          <cell r="G381" t="str">
            <v>No requiere</v>
          </cell>
        </row>
        <row r="382">
          <cell r="A382" t="str">
            <v>NormalBajaMedioSi12</v>
          </cell>
          <cell r="B382" t="str">
            <v>Normal</v>
          </cell>
          <cell r="C382" t="str">
            <v>Baja</v>
          </cell>
          <cell r="D382" t="str">
            <v>Medio</v>
          </cell>
          <cell r="E382" t="str">
            <v>Si</v>
          </cell>
          <cell r="F382" t="str">
            <v xml:space="preserve">12.     Realizar validación y confirmación funcional </v>
          </cell>
          <cell r="G382" t="str">
            <v>Requiere</v>
          </cell>
        </row>
        <row r="383">
          <cell r="A383" t="str">
            <v>NormalBajaMedioSi13</v>
          </cell>
          <cell r="B383" t="str">
            <v>Normal</v>
          </cell>
          <cell r="C383" t="str">
            <v>Baja</v>
          </cell>
          <cell r="D383" t="str">
            <v>Medio</v>
          </cell>
          <cell r="E383" t="str">
            <v>Si</v>
          </cell>
          <cell r="F383" t="str">
            <v>13.   Realizar validación y confirmación técnica</v>
          </cell>
          <cell r="G383" t="str">
            <v>Requiere</v>
          </cell>
        </row>
        <row r="384">
          <cell r="A384" t="str">
            <v>NormalBajaMedioSi14</v>
          </cell>
          <cell r="B384" t="str">
            <v>Normal</v>
          </cell>
          <cell r="C384" t="str">
            <v>Baja</v>
          </cell>
          <cell r="D384" t="str">
            <v>Medio</v>
          </cell>
          <cell r="E384" t="str">
            <v>Si</v>
          </cell>
          <cell r="F384" t="str">
            <v>14.   Validación de Performance pre y post cambio</v>
          </cell>
          <cell r="G384" t="str">
            <v>No requiere</v>
          </cell>
        </row>
        <row r="385">
          <cell r="A385" t="str">
            <v>NormalBajaMedioSi2.</v>
          </cell>
          <cell r="B385" t="str">
            <v>Normal</v>
          </cell>
          <cell r="C385" t="str">
            <v>Baja</v>
          </cell>
          <cell r="D385" t="str">
            <v>Medio</v>
          </cell>
          <cell r="E385" t="str">
            <v>Si</v>
          </cell>
          <cell r="F385" t="str">
            <v>2.     Checklist Certificado</v>
          </cell>
          <cell r="G385" t="str">
            <v>No requiere</v>
          </cell>
        </row>
        <row r="386">
          <cell r="A386" t="str">
            <v>NormalBajaMedioSi3.</v>
          </cell>
          <cell r="B386" t="str">
            <v>Normal</v>
          </cell>
          <cell r="C386" t="str">
            <v>Baja</v>
          </cell>
          <cell r="D386" t="str">
            <v>Medio</v>
          </cell>
          <cell r="E386" t="str">
            <v>Si</v>
          </cell>
          <cell r="F386" t="str">
            <v>3.     Rollback Certificado en ambiente previo</v>
          </cell>
          <cell r="G386" t="str">
            <v>No requiere</v>
          </cell>
        </row>
        <row r="387">
          <cell r="A387" t="str">
            <v>NormalBajaMedioSi4.</v>
          </cell>
          <cell r="B387" t="str">
            <v>Normal</v>
          </cell>
          <cell r="C387" t="str">
            <v>Baja</v>
          </cell>
          <cell r="D387" t="str">
            <v>Medio</v>
          </cell>
          <cell r="E387" t="str">
            <v>Si</v>
          </cell>
          <cell r="F387" t="str">
            <v xml:space="preserve">4.     Confirmación de ejecución/funcionamiento correcto en Ambiente Previo </v>
          </cell>
          <cell r="G387" t="str">
            <v>Requiere</v>
          </cell>
        </row>
        <row r="388">
          <cell r="A388" t="str">
            <v>NormalBajaMedioSi6.</v>
          </cell>
          <cell r="B388" t="str">
            <v>Normal</v>
          </cell>
          <cell r="C388" t="str">
            <v>Baja</v>
          </cell>
          <cell r="D388" t="str">
            <v>Medio</v>
          </cell>
          <cell r="E388" t="str">
            <v>Si</v>
          </cell>
          <cell r="F388" t="str">
            <v>6.   Evaluación de Riesgos TI</v>
          </cell>
          <cell r="G388" t="str">
            <v>No requiere</v>
          </cell>
        </row>
        <row r="389">
          <cell r="A389" t="str">
            <v>NormalBajaMedioSi7.</v>
          </cell>
          <cell r="B389" t="str">
            <v>Normal</v>
          </cell>
          <cell r="C389" t="str">
            <v>Baja</v>
          </cell>
          <cell r="D389" t="str">
            <v>Medio</v>
          </cell>
          <cell r="E389" t="str">
            <v>Si</v>
          </cell>
          <cell r="F389" t="str">
            <v>7.     Análisis de reportes financieros</v>
          </cell>
          <cell r="G389" t="str">
            <v>No requiere</v>
          </cell>
        </row>
        <row r="390">
          <cell r="A390" t="str">
            <v>NormalBajaMedioSi8.</v>
          </cell>
          <cell r="B390" t="str">
            <v>Normal</v>
          </cell>
          <cell r="C390" t="str">
            <v>Baja</v>
          </cell>
          <cell r="D390" t="str">
            <v>Medio</v>
          </cell>
          <cell r="E390" t="str">
            <v>Si</v>
          </cell>
          <cell r="F390" t="str">
            <v>8.     Garantizar soporte Estándar</v>
          </cell>
          <cell r="G390" t="str">
            <v>Requiere</v>
          </cell>
        </row>
        <row r="391">
          <cell r="A391" t="str">
            <v>NormalBajaMedioSi9.</v>
          </cell>
          <cell r="B391" t="str">
            <v>Normal</v>
          </cell>
          <cell r="C391" t="str">
            <v>Baja</v>
          </cell>
          <cell r="D391" t="str">
            <v>Medio</v>
          </cell>
          <cell r="E391" t="str">
            <v>Si</v>
          </cell>
          <cell r="F391" t="str">
            <v xml:space="preserve">9.     Ofrecer Soporte físico </v>
          </cell>
          <cell r="G391" t="str">
            <v>No requiere</v>
          </cell>
        </row>
        <row r="392">
          <cell r="A392" t="str">
            <v>NormalMediaAltoNo1.</v>
          </cell>
          <cell r="B392" t="str">
            <v>Normal</v>
          </cell>
          <cell r="C392" t="str">
            <v>Media</v>
          </cell>
          <cell r="D392" t="str">
            <v>Alto</v>
          </cell>
          <cell r="E392" t="str">
            <v>No</v>
          </cell>
          <cell r="F392" t="str">
            <v xml:space="preserve">1.     Documentación requerida estándar </v>
          </cell>
          <cell r="G392" t="str">
            <v>Requiere</v>
          </cell>
        </row>
        <row r="393">
          <cell r="A393" t="str">
            <v>NormalMediaAltoNo10</v>
          </cell>
          <cell r="B393" t="str">
            <v>Normal</v>
          </cell>
          <cell r="C393" t="str">
            <v>Media</v>
          </cell>
          <cell r="D393" t="str">
            <v>Alto</v>
          </cell>
          <cell r="E393" t="str">
            <v>No</v>
          </cell>
          <cell r="F393" t="str">
            <v xml:space="preserve">10.     Ofrecer Soporte remoto </v>
          </cell>
          <cell r="G393" t="str">
            <v>No requiere</v>
          </cell>
        </row>
        <row r="394">
          <cell r="A394" t="str">
            <v>NormalMediaAltoNo11</v>
          </cell>
          <cell r="B394" t="str">
            <v>Normal</v>
          </cell>
          <cell r="C394" t="str">
            <v>Media</v>
          </cell>
          <cell r="D394" t="str">
            <v>Alto</v>
          </cell>
          <cell r="E394" t="str">
            <v>No</v>
          </cell>
          <cell r="F394" t="str">
            <v>11.     Ofrecer Soporte de vida temprana (ELS)</v>
          </cell>
          <cell r="G394" t="str">
            <v>No requiere</v>
          </cell>
        </row>
        <row r="395">
          <cell r="A395" t="str">
            <v>NormalMediaAltoNo12</v>
          </cell>
          <cell r="B395" t="str">
            <v>Normal</v>
          </cell>
          <cell r="C395" t="str">
            <v>Media</v>
          </cell>
          <cell r="D395" t="str">
            <v>Alto</v>
          </cell>
          <cell r="E395" t="str">
            <v>No</v>
          </cell>
          <cell r="F395" t="str">
            <v xml:space="preserve">12.     Realizar validación y confirmación funcional </v>
          </cell>
          <cell r="G395" t="str">
            <v>Requiere</v>
          </cell>
        </row>
        <row r="396">
          <cell r="A396" t="str">
            <v>NormalMediaAltoNo13</v>
          </cell>
          <cell r="B396" t="str">
            <v>Normal</v>
          </cell>
          <cell r="C396" t="str">
            <v>Media</v>
          </cell>
          <cell r="D396" t="str">
            <v>Alto</v>
          </cell>
          <cell r="E396" t="str">
            <v>No</v>
          </cell>
          <cell r="F396" t="str">
            <v>13.   Realizar validación y confirmación técnica</v>
          </cell>
          <cell r="G396" t="str">
            <v>Requiere</v>
          </cell>
        </row>
        <row r="397">
          <cell r="A397" t="str">
            <v>NormalMediaAltoNo14</v>
          </cell>
          <cell r="B397" t="str">
            <v>Normal</v>
          </cell>
          <cell r="C397" t="str">
            <v>Media</v>
          </cell>
          <cell r="D397" t="str">
            <v>Alto</v>
          </cell>
          <cell r="E397" t="str">
            <v>No</v>
          </cell>
          <cell r="F397" t="str">
            <v>14.   Validación de Performance pre y post cambio</v>
          </cell>
          <cell r="G397" t="str">
            <v>No requiere</v>
          </cell>
        </row>
        <row r="398">
          <cell r="A398" t="str">
            <v>NormalMediaAltoNo2.</v>
          </cell>
          <cell r="B398" t="str">
            <v>Normal</v>
          </cell>
          <cell r="C398" t="str">
            <v>Media</v>
          </cell>
          <cell r="D398" t="str">
            <v>Alto</v>
          </cell>
          <cell r="E398" t="str">
            <v>No</v>
          </cell>
          <cell r="F398" t="str">
            <v>2.     Checklist Certificado</v>
          </cell>
          <cell r="G398" t="str">
            <v>No requiere</v>
          </cell>
        </row>
        <row r="399">
          <cell r="A399" t="str">
            <v>NormalMediaAltoNo3.</v>
          </cell>
          <cell r="B399" t="str">
            <v>Normal</v>
          </cell>
          <cell r="C399" t="str">
            <v>Media</v>
          </cell>
          <cell r="D399" t="str">
            <v>Alto</v>
          </cell>
          <cell r="E399" t="str">
            <v>No</v>
          </cell>
          <cell r="F399" t="str">
            <v>3.     Rollback Certificado en ambiente previo</v>
          </cell>
          <cell r="G399" t="str">
            <v>No requiere</v>
          </cell>
        </row>
        <row r="400">
          <cell r="A400" t="str">
            <v>NormalMediaAltoNo4.</v>
          </cell>
          <cell r="B400" t="str">
            <v>Normal</v>
          </cell>
          <cell r="C400" t="str">
            <v>Media</v>
          </cell>
          <cell r="D400" t="str">
            <v>Alto</v>
          </cell>
          <cell r="E400" t="str">
            <v>No</v>
          </cell>
          <cell r="F400" t="str">
            <v xml:space="preserve">4.     Confirmación de ejecución/funcionamiento correcto en Ambiente Previo </v>
          </cell>
          <cell r="G400" t="str">
            <v>Requiere</v>
          </cell>
        </row>
        <row r="401">
          <cell r="A401" t="str">
            <v>NormalMediaAltoNo6.</v>
          </cell>
          <cell r="B401" t="str">
            <v>Normal</v>
          </cell>
          <cell r="C401" t="str">
            <v>Media</v>
          </cell>
          <cell r="D401" t="str">
            <v>Alto</v>
          </cell>
          <cell r="E401" t="str">
            <v>No</v>
          </cell>
          <cell r="F401" t="str">
            <v>6.   Evaluación de Riesgos TI</v>
          </cell>
          <cell r="G401" t="str">
            <v>Requiere</v>
          </cell>
        </row>
        <row r="402">
          <cell r="A402" t="str">
            <v>NormalMediaAltoNo7.</v>
          </cell>
          <cell r="B402" t="str">
            <v>Normal</v>
          </cell>
          <cell r="C402" t="str">
            <v>Media</v>
          </cell>
          <cell r="D402" t="str">
            <v>Alto</v>
          </cell>
          <cell r="E402" t="str">
            <v>No</v>
          </cell>
          <cell r="F402" t="str">
            <v>7.     Análisis de reportes financieros</v>
          </cell>
          <cell r="G402" t="str">
            <v>No requiere</v>
          </cell>
        </row>
        <row r="403">
          <cell r="A403" t="str">
            <v>NormalMediaAltoNo8.</v>
          </cell>
          <cell r="B403" t="str">
            <v>Normal</v>
          </cell>
          <cell r="C403" t="str">
            <v>Media</v>
          </cell>
          <cell r="D403" t="str">
            <v>Alto</v>
          </cell>
          <cell r="E403" t="str">
            <v>No</v>
          </cell>
          <cell r="F403" t="str">
            <v>8.     Garantizar soporte Estándar</v>
          </cell>
          <cell r="G403" t="str">
            <v>Requiere</v>
          </cell>
        </row>
        <row r="404">
          <cell r="A404" t="str">
            <v>NormalMediaAltoNo9.</v>
          </cell>
          <cell r="B404" t="str">
            <v>Normal</v>
          </cell>
          <cell r="C404" t="str">
            <v>Media</v>
          </cell>
          <cell r="D404" t="str">
            <v>Alto</v>
          </cell>
          <cell r="E404" t="str">
            <v>No</v>
          </cell>
          <cell r="F404" t="str">
            <v xml:space="preserve">9.     Ofrecer Soporte físico </v>
          </cell>
          <cell r="G404" t="str">
            <v>Requiere</v>
          </cell>
        </row>
        <row r="405">
          <cell r="A405" t="str">
            <v>NormalMediaAltoSi1.</v>
          </cell>
          <cell r="B405" t="str">
            <v>Normal</v>
          </cell>
          <cell r="C405" t="str">
            <v>Media</v>
          </cell>
          <cell r="D405" t="str">
            <v>Alto</v>
          </cell>
          <cell r="E405" t="str">
            <v>Si</v>
          </cell>
          <cell r="F405" t="str">
            <v xml:space="preserve">1.     Documentación requerida estándar </v>
          </cell>
          <cell r="G405" t="str">
            <v>Requiere</v>
          </cell>
        </row>
        <row r="406">
          <cell r="A406" t="str">
            <v>NormalMediaAltoSi10</v>
          </cell>
          <cell r="B406" t="str">
            <v>Normal</v>
          </cell>
          <cell r="C406" t="str">
            <v>Media</v>
          </cell>
          <cell r="D406" t="str">
            <v>Alto</v>
          </cell>
          <cell r="E406" t="str">
            <v>Si</v>
          </cell>
          <cell r="F406" t="str">
            <v xml:space="preserve">10.     Ofrecer Soporte remoto </v>
          </cell>
          <cell r="G406" t="str">
            <v>No requiere</v>
          </cell>
        </row>
        <row r="407">
          <cell r="A407" t="str">
            <v>NormalMediaAltoSi11</v>
          </cell>
          <cell r="B407" t="str">
            <v>Normal</v>
          </cell>
          <cell r="C407" t="str">
            <v>Media</v>
          </cell>
          <cell r="D407" t="str">
            <v>Alto</v>
          </cell>
          <cell r="E407" t="str">
            <v>Si</v>
          </cell>
          <cell r="F407" t="str">
            <v>11.     Ofrecer Soporte de vida temprana (ELS)</v>
          </cell>
          <cell r="G407" t="str">
            <v>No requiere</v>
          </cell>
        </row>
        <row r="408">
          <cell r="A408" t="str">
            <v>NormalMediaAltoSi12</v>
          </cell>
          <cell r="B408" t="str">
            <v>Normal</v>
          </cell>
          <cell r="C408" t="str">
            <v>Media</v>
          </cell>
          <cell r="D408" t="str">
            <v>Alto</v>
          </cell>
          <cell r="E408" t="str">
            <v>Si</v>
          </cell>
          <cell r="F408" t="str">
            <v xml:space="preserve">12.     Realizar validación y confirmación funcional </v>
          </cell>
          <cell r="G408" t="str">
            <v>Requiere</v>
          </cell>
        </row>
        <row r="409">
          <cell r="A409" t="str">
            <v>NormalMediaAltoSi13</v>
          </cell>
          <cell r="B409" t="str">
            <v>Normal</v>
          </cell>
          <cell r="C409" t="str">
            <v>Media</v>
          </cell>
          <cell r="D409" t="str">
            <v>Alto</v>
          </cell>
          <cell r="E409" t="str">
            <v>Si</v>
          </cell>
          <cell r="F409" t="str">
            <v>13.   Realizar validación y confirmación técnica</v>
          </cell>
          <cell r="G409" t="str">
            <v>Requiere</v>
          </cell>
        </row>
        <row r="410">
          <cell r="A410" t="str">
            <v>NormalMediaAltoSi14</v>
          </cell>
          <cell r="B410" t="str">
            <v>Normal</v>
          </cell>
          <cell r="C410" t="str">
            <v>Media</v>
          </cell>
          <cell r="D410" t="str">
            <v>Alto</v>
          </cell>
          <cell r="E410" t="str">
            <v>Si</v>
          </cell>
          <cell r="F410" t="str">
            <v>14.   Validación de Performance pre y post cambio</v>
          </cell>
          <cell r="G410" t="str">
            <v>No requiere</v>
          </cell>
        </row>
        <row r="411">
          <cell r="A411" t="str">
            <v>NormalMediaAltoSi2.</v>
          </cell>
          <cell r="B411" t="str">
            <v>Normal</v>
          </cell>
          <cell r="C411" t="str">
            <v>Media</v>
          </cell>
          <cell r="D411" t="str">
            <v>Alto</v>
          </cell>
          <cell r="E411" t="str">
            <v>Si</v>
          </cell>
          <cell r="F411" t="str">
            <v>2.     Checklist Certificado</v>
          </cell>
          <cell r="G411" t="str">
            <v>No requiere</v>
          </cell>
        </row>
        <row r="412">
          <cell r="A412" t="str">
            <v>NormalMediaAltoSi3.</v>
          </cell>
          <cell r="B412" t="str">
            <v>Normal</v>
          </cell>
          <cell r="C412" t="str">
            <v>Media</v>
          </cell>
          <cell r="D412" t="str">
            <v>Alto</v>
          </cell>
          <cell r="E412" t="str">
            <v>Si</v>
          </cell>
          <cell r="F412" t="str">
            <v>3.     Rollback Certificado en ambiente previo</v>
          </cell>
          <cell r="G412" t="str">
            <v>No requiere</v>
          </cell>
        </row>
        <row r="413">
          <cell r="A413" t="str">
            <v>NormalMediaAltoSi4.</v>
          </cell>
          <cell r="B413" t="str">
            <v>Normal</v>
          </cell>
          <cell r="C413" t="str">
            <v>Media</v>
          </cell>
          <cell r="D413" t="str">
            <v>Alto</v>
          </cell>
          <cell r="E413" t="str">
            <v>Si</v>
          </cell>
          <cell r="F413" t="str">
            <v xml:space="preserve">4.     Confirmación de ejecución/funcionamiento correcto en Ambiente Previo </v>
          </cell>
          <cell r="G413" t="str">
            <v>Requiere</v>
          </cell>
        </row>
        <row r="414">
          <cell r="A414" t="str">
            <v>NormalMediaAltoSi6.</v>
          </cell>
          <cell r="B414" t="str">
            <v>Normal</v>
          </cell>
          <cell r="C414" t="str">
            <v>Media</v>
          </cell>
          <cell r="D414" t="str">
            <v>Alto</v>
          </cell>
          <cell r="E414" t="str">
            <v>Si</v>
          </cell>
          <cell r="F414" t="str">
            <v>6.   Evaluación de Riesgos TI</v>
          </cell>
          <cell r="G414" t="str">
            <v>Requiere</v>
          </cell>
        </row>
        <row r="415">
          <cell r="A415" t="str">
            <v>NormalMediaAltoSi7.</v>
          </cell>
          <cell r="B415" t="str">
            <v>Normal</v>
          </cell>
          <cell r="C415" t="str">
            <v>Media</v>
          </cell>
          <cell r="D415" t="str">
            <v>Alto</v>
          </cell>
          <cell r="E415" t="str">
            <v>Si</v>
          </cell>
          <cell r="F415" t="str">
            <v>7.     Análisis de reportes financieros</v>
          </cell>
          <cell r="G415" t="str">
            <v>No requiere</v>
          </cell>
        </row>
        <row r="416">
          <cell r="A416" t="str">
            <v>NormalMediaAltoSi8.</v>
          </cell>
          <cell r="B416" t="str">
            <v>Normal</v>
          </cell>
          <cell r="C416" t="str">
            <v>Media</v>
          </cell>
          <cell r="D416" t="str">
            <v>Alto</v>
          </cell>
          <cell r="E416" t="str">
            <v>Si</v>
          </cell>
          <cell r="F416" t="str">
            <v>8.     Garantizar soporte Estándar</v>
          </cell>
          <cell r="G416" t="str">
            <v>Requiere</v>
          </cell>
        </row>
        <row r="417">
          <cell r="A417" t="str">
            <v>NormalMediaAltoSi9.</v>
          </cell>
          <cell r="B417" t="str">
            <v>Normal</v>
          </cell>
          <cell r="C417" t="str">
            <v>Media</v>
          </cell>
          <cell r="D417" t="str">
            <v>Alto</v>
          </cell>
          <cell r="E417" t="str">
            <v>Si</v>
          </cell>
          <cell r="F417" t="str">
            <v xml:space="preserve">9.     Ofrecer Soporte físico </v>
          </cell>
          <cell r="G417" t="str">
            <v>Requiere</v>
          </cell>
        </row>
        <row r="418">
          <cell r="A418" t="str">
            <v>NormalMediaBajoNo1.</v>
          </cell>
          <cell r="B418" t="str">
            <v>Normal</v>
          </cell>
          <cell r="C418" t="str">
            <v>Media</v>
          </cell>
          <cell r="D418" t="str">
            <v>Bajo</v>
          </cell>
          <cell r="E418" t="str">
            <v>No</v>
          </cell>
          <cell r="F418" t="str">
            <v xml:space="preserve">1.     Documentación requerida estándar </v>
          </cell>
          <cell r="G418" t="str">
            <v>Requiere</v>
          </cell>
        </row>
        <row r="419">
          <cell r="A419" t="str">
            <v>NormalMediaBajoNo10</v>
          </cell>
          <cell r="B419" t="str">
            <v>Normal</v>
          </cell>
          <cell r="C419" t="str">
            <v>Media</v>
          </cell>
          <cell r="D419" t="str">
            <v>Bajo</v>
          </cell>
          <cell r="E419" t="str">
            <v>No</v>
          </cell>
          <cell r="F419" t="str">
            <v xml:space="preserve">10.     Ofrecer Soporte remoto </v>
          </cell>
          <cell r="G419" t="str">
            <v>Requiere</v>
          </cell>
        </row>
        <row r="420">
          <cell r="A420" t="str">
            <v>NormalMediaBajoNo11</v>
          </cell>
          <cell r="B420" t="str">
            <v>Normal</v>
          </cell>
          <cell r="C420" t="str">
            <v>Media</v>
          </cell>
          <cell r="D420" t="str">
            <v>Bajo</v>
          </cell>
          <cell r="E420" t="str">
            <v>No</v>
          </cell>
          <cell r="F420" t="str">
            <v>11.     Ofrecer Soporte de vida temprana (ELS)</v>
          </cell>
          <cell r="G420" t="str">
            <v>No requiere</v>
          </cell>
        </row>
        <row r="421">
          <cell r="A421" t="str">
            <v>NormalMediaBajoNo12</v>
          </cell>
          <cell r="B421" t="str">
            <v>Normal</v>
          </cell>
          <cell r="C421" t="str">
            <v>Media</v>
          </cell>
          <cell r="D421" t="str">
            <v>Bajo</v>
          </cell>
          <cell r="E421" t="str">
            <v>No</v>
          </cell>
          <cell r="F421" t="str">
            <v xml:space="preserve">12.     Realizar validación y confirmación funcional </v>
          </cell>
          <cell r="G421" t="str">
            <v>Requiere</v>
          </cell>
        </row>
        <row r="422">
          <cell r="A422" t="str">
            <v>NormalMediaBajoNo13</v>
          </cell>
          <cell r="B422" t="str">
            <v>Normal</v>
          </cell>
          <cell r="C422" t="str">
            <v>Media</v>
          </cell>
          <cell r="D422" t="str">
            <v>Bajo</v>
          </cell>
          <cell r="E422" t="str">
            <v>No</v>
          </cell>
          <cell r="F422" t="str">
            <v>13.   Realizar validación y confirmación técnica</v>
          </cell>
          <cell r="G422" t="str">
            <v>Requiere</v>
          </cell>
        </row>
        <row r="423">
          <cell r="A423" t="str">
            <v>NormalMediaBajoNo14</v>
          </cell>
          <cell r="B423" t="str">
            <v>Normal</v>
          </cell>
          <cell r="C423" t="str">
            <v>Media</v>
          </cell>
          <cell r="D423" t="str">
            <v>Bajo</v>
          </cell>
          <cell r="E423" t="str">
            <v>No</v>
          </cell>
          <cell r="F423" t="str">
            <v>14.   Validación de Performance pre y post cambio</v>
          </cell>
          <cell r="G423" t="str">
            <v>No requiere</v>
          </cell>
        </row>
        <row r="424">
          <cell r="A424" t="str">
            <v>NormalMediaBajoNo2.</v>
          </cell>
          <cell r="B424" t="str">
            <v>Normal</v>
          </cell>
          <cell r="C424" t="str">
            <v>Media</v>
          </cell>
          <cell r="D424" t="str">
            <v>Bajo</v>
          </cell>
          <cell r="E424" t="str">
            <v>No</v>
          </cell>
          <cell r="F424" t="str">
            <v>2.     Checklist Certificado</v>
          </cell>
          <cell r="G424" t="str">
            <v>No requiere</v>
          </cell>
        </row>
        <row r="425">
          <cell r="A425" t="str">
            <v>NormalMediaBajoNo3.</v>
          </cell>
          <cell r="B425" t="str">
            <v>Normal</v>
          </cell>
          <cell r="C425" t="str">
            <v>Media</v>
          </cell>
          <cell r="D425" t="str">
            <v>Bajo</v>
          </cell>
          <cell r="E425" t="str">
            <v>No</v>
          </cell>
          <cell r="F425" t="str">
            <v>3.     Rollback Certificado en ambiente previo</v>
          </cell>
          <cell r="G425" t="str">
            <v>No requiere</v>
          </cell>
        </row>
        <row r="426">
          <cell r="A426" t="str">
            <v>NormalMediaBajoNo4.</v>
          </cell>
          <cell r="B426" t="str">
            <v>Normal</v>
          </cell>
          <cell r="C426" t="str">
            <v>Media</v>
          </cell>
          <cell r="D426" t="str">
            <v>Bajo</v>
          </cell>
          <cell r="E426" t="str">
            <v>No</v>
          </cell>
          <cell r="F426" t="str">
            <v xml:space="preserve">4.     Confirmación de ejecución/funcionamiento correcto en Ambiente Previo </v>
          </cell>
          <cell r="G426" t="str">
            <v>Requiere</v>
          </cell>
        </row>
        <row r="427">
          <cell r="A427" t="str">
            <v>NormalMediaBajoNo6.</v>
          </cell>
          <cell r="B427" t="str">
            <v>Normal</v>
          </cell>
          <cell r="C427" t="str">
            <v>Media</v>
          </cell>
          <cell r="D427" t="str">
            <v>Bajo</v>
          </cell>
          <cell r="E427" t="str">
            <v>No</v>
          </cell>
          <cell r="F427" t="str">
            <v>6.   Evaluación de Riesgos TI</v>
          </cell>
          <cell r="G427" t="str">
            <v>No requiere</v>
          </cell>
        </row>
        <row r="428">
          <cell r="A428" t="str">
            <v>NormalMediaBajoNo7.</v>
          </cell>
          <cell r="B428" t="str">
            <v>Normal</v>
          </cell>
          <cell r="C428" t="str">
            <v>Media</v>
          </cell>
          <cell r="D428" t="str">
            <v>Bajo</v>
          </cell>
          <cell r="E428" t="str">
            <v>No</v>
          </cell>
          <cell r="F428" t="str">
            <v>7.     Análisis de reportes financieros</v>
          </cell>
          <cell r="G428" t="str">
            <v>No requiere</v>
          </cell>
        </row>
        <row r="429">
          <cell r="A429" t="str">
            <v>NormalMediaBajoNo8.</v>
          </cell>
          <cell r="B429" t="str">
            <v>Normal</v>
          </cell>
          <cell r="C429" t="str">
            <v>Media</v>
          </cell>
          <cell r="D429" t="str">
            <v>Bajo</v>
          </cell>
          <cell r="E429" t="str">
            <v>No</v>
          </cell>
          <cell r="F429" t="str">
            <v>8.     Garantizar soporte Estándar</v>
          </cell>
          <cell r="G429" t="str">
            <v>Requiere</v>
          </cell>
        </row>
        <row r="430">
          <cell r="A430" t="str">
            <v>NormalMediaBajoNo9.</v>
          </cell>
          <cell r="B430" t="str">
            <v>Normal</v>
          </cell>
          <cell r="C430" t="str">
            <v>Media</v>
          </cell>
          <cell r="D430" t="str">
            <v>Bajo</v>
          </cell>
          <cell r="E430" t="str">
            <v>No</v>
          </cell>
          <cell r="F430" t="str">
            <v xml:space="preserve">9.     Ofrecer Soporte físico </v>
          </cell>
          <cell r="G430" t="str">
            <v>No requiere</v>
          </cell>
        </row>
        <row r="431">
          <cell r="A431" t="str">
            <v>NormalMediaBajoSi1.</v>
          </cell>
          <cell r="B431" t="str">
            <v>Normal</v>
          </cell>
          <cell r="C431" t="str">
            <v>Media</v>
          </cell>
          <cell r="D431" t="str">
            <v>Bajo</v>
          </cell>
          <cell r="E431" t="str">
            <v>Si</v>
          </cell>
          <cell r="F431" t="str">
            <v xml:space="preserve">1.     Documentación requerida estándar </v>
          </cell>
          <cell r="G431" t="str">
            <v>Requiere</v>
          </cell>
        </row>
        <row r="432">
          <cell r="A432" t="str">
            <v>NormalMediaBajoSi10</v>
          </cell>
          <cell r="B432" t="str">
            <v>Normal</v>
          </cell>
          <cell r="C432" t="str">
            <v>Media</v>
          </cell>
          <cell r="D432" t="str">
            <v>Bajo</v>
          </cell>
          <cell r="E432" t="str">
            <v>Si</v>
          </cell>
          <cell r="F432" t="str">
            <v xml:space="preserve">10.     Ofrecer Soporte remoto </v>
          </cell>
          <cell r="G432" t="str">
            <v>Requiere</v>
          </cell>
        </row>
        <row r="433">
          <cell r="A433" t="str">
            <v>NormalMediaBajoSi11</v>
          </cell>
          <cell r="B433" t="str">
            <v>Normal</v>
          </cell>
          <cell r="C433" t="str">
            <v>Media</v>
          </cell>
          <cell r="D433" t="str">
            <v>Bajo</v>
          </cell>
          <cell r="E433" t="str">
            <v>Si</v>
          </cell>
          <cell r="F433" t="str">
            <v>11.     Ofrecer Soporte de vida temprana (ELS)</v>
          </cell>
          <cell r="G433" t="str">
            <v>No requiere</v>
          </cell>
        </row>
        <row r="434">
          <cell r="A434" t="str">
            <v>NormalMediaBajoSi12</v>
          </cell>
          <cell r="B434" t="str">
            <v>Normal</v>
          </cell>
          <cell r="C434" t="str">
            <v>Media</v>
          </cell>
          <cell r="D434" t="str">
            <v>Bajo</v>
          </cell>
          <cell r="E434" t="str">
            <v>Si</v>
          </cell>
          <cell r="F434" t="str">
            <v xml:space="preserve">12.     Realizar validación y confirmación funcional </v>
          </cell>
          <cell r="G434" t="str">
            <v>Requiere</v>
          </cell>
        </row>
        <row r="435">
          <cell r="A435" t="str">
            <v>NormalMediaBajoSi13</v>
          </cell>
          <cell r="B435" t="str">
            <v>Normal</v>
          </cell>
          <cell r="C435" t="str">
            <v>Media</v>
          </cell>
          <cell r="D435" t="str">
            <v>Bajo</v>
          </cell>
          <cell r="E435" t="str">
            <v>Si</v>
          </cell>
          <cell r="F435" t="str">
            <v>13.   Realizar validación y confirmación técnica</v>
          </cell>
          <cell r="G435" t="str">
            <v>Requiere</v>
          </cell>
        </row>
        <row r="436">
          <cell r="A436" t="str">
            <v>NormalMediaBajoSi14</v>
          </cell>
          <cell r="B436" t="str">
            <v>Normal</v>
          </cell>
          <cell r="C436" t="str">
            <v>Media</v>
          </cell>
          <cell r="D436" t="str">
            <v>Bajo</v>
          </cell>
          <cell r="E436" t="str">
            <v>Si</v>
          </cell>
          <cell r="F436" t="str">
            <v>14.   Validación de Performance pre y post cambio</v>
          </cell>
          <cell r="G436" t="str">
            <v>No requiere</v>
          </cell>
        </row>
        <row r="437">
          <cell r="A437" t="str">
            <v>NormalMediaBajoSi2.</v>
          </cell>
          <cell r="B437" t="str">
            <v>Normal</v>
          </cell>
          <cell r="C437" t="str">
            <v>Media</v>
          </cell>
          <cell r="D437" t="str">
            <v>Bajo</v>
          </cell>
          <cell r="E437" t="str">
            <v>Si</v>
          </cell>
          <cell r="F437" t="str">
            <v>2.     Checklist Certificado</v>
          </cell>
          <cell r="G437" t="str">
            <v>No requiere</v>
          </cell>
        </row>
        <row r="438">
          <cell r="A438" t="str">
            <v>NormalMediaBajoSi3.</v>
          </cell>
          <cell r="B438" t="str">
            <v>Normal</v>
          </cell>
          <cell r="C438" t="str">
            <v>Media</v>
          </cell>
          <cell r="D438" t="str">
            <v>Bajo</v>
          </cell>
          <cell r="E438" t="str">
            <v>Si</v>
          </cell>
          <cell r="F438" t="str">
            <v>3.     Rollback Certificado en ambiente previo</v>
          </cell>
          <cell r="G438" t="str">
            <v>No requiere</v>
          </cell>
        </row>
        <row r="439">
          <cell r="A439" t="str">
            <v>NormalMediaBajoSi4.</v>
          </cell>
          <cell r="B439" t="str">
            <v>Normal</v>
          </cell>
          <cell r="C439" t="str">
            <v>Media</v>
          </cell>
          <cell r="D439" t="str">
            <v>Bajo</v>
          </cell>
          <cell r="E439" t="str">
            <v>Si</v>
          </cell>
          <cell r="F439" t="str">
            <v xml:space="preserve">4.     Confirmación de ejecución/funcionamiento correcto en Ambiente Previo </v>
          </cell>
          <cell r="G439" t="str">
            <v>Requiere</v>
          </cell>
        </row>
        <row r="440">
          <cell r="A440" t="str">
            <v>NormalMediaBajoSi6.</v>
          </cell>
          <cell r="B440" t="str">
            <v>Normal</v>
          </cell>
          <cell r="C440" t="str">
            <v>Media</v>
          </cell>
          <cell r="D440" t="str">
            <v>Bajo</v>
          </cell>
          <cell r="E440" t="str">
            <v>Si</v>
          </cell>
          <cell r="F440" t="str">
            <v>6.   Evaluación de Riesgos TI</v>
          </cell>
          <cell r="G440" t="str">
            <v>No requiere</v>
          </cell>
        </row>
        <row r="441">
          <cell r="A441" t="str">
            <v>NormalMediaBajoSi7.</v>
          </cell>
          <cell r="B441" t="str">
            <v>Normal</v>
          </cell>
          <cell r="C441" t="str">
            <v>Media</v>
          </cell>
          <cell r="D441" t="str">
            <v>Bajo</v>
          </cell>
          <cell r="E441" t="str">
            <v>Si</v>
          </cell>
          <cell r="F441" t="str">
            <v>7.     Análisis de reportes financieros</v>
          </cell>
          <cell r="G441" t="str">
            <v>No requiere</v>
          </cell>
        </row>
        <row r="442">
          <cell r="A442" t="str">
            <v>NormalMediaBajoSi8.</v>
          </cell>
          <cell r="B442" t="str">
            <v>Normal</v>
          </cell>
          <cell r="C442" t="str">
            <v>Media</v>
          </cell>
          <cell r="D442" t="str">
            <v>Bajo</v>
          </cell>
          <cell r="E442" t="str">
            <v>Si</v>
          </cell>
          <cell r="F442" t="str">
            <v>8.     Garantizar soporte Estándar</v>
          </cell>
          <cell r="G442" t="str">
            <v>Requiere</v>
          </cell>
        </row>
        <row r="443">
          <cell r="A443" t="str">
            <v>NormalMediaBajoSi9.</v>
          </cell>
          <cell r="B443" t="str">
            <v>Normal</v>
          </cell>
          <cell r="C443" t="str">
            <v>Media</v>
          </cell>
          <cell r="D443" t="str">
            <v>Bajo</v>
          </cell>
          <cell r="E443" t="str">
            <v>Si</v>
          </cell>
          <cell r="F443" t="str">
            <v xml:space="preserve">9.     Ofrecer Soporte físico </v>
          </cell>
          <cell r="G443" t="str">
            <v>No requiere</v>
          </cell>
        </row>
        <row r="444">
          <cell r="A444" t="str">
            <v>NormalMediaMedioNo1.</v>
          </cell>
          <cell r="B444" t="str">
            <v>Normal</v>
          </cell>
          <cell r="C444" t="str">
            <v>Media</v>
          </cell>
          <cell r="D444" t="str">
            <v>Medio</v>
          </cell>
          <cell r="E444" t="str">
            <v>No</v>
          </cell>
          <cell r="F444" t="str">
            <v xml:space="preserve">1.     Documentación requerida estándar </v>
          </cell>
          <cell r="G444" t="str">
            <v>Requiere</v>
          </cell>
        </row>
        <row r="445">
          <cell r="A445" t="str">
            <v>NormalMediaMedioNo10</v>
          </cell>
          <cell r="B445" t="str">
            <v>Normal</v>
          </cell>
          <cell r="C445" t="str">
            <v>Media</v>
          </cell>
          <cell r="D445" t="str">
            <v>Medio</v>
          </cell>
          <cell r="E445" t="str">
            <v>No</v>
          </cell>
          <cell r="F445" t="str">
            <v xml:space="preserve">10.     Ofrecer Soporte remoto </v>
          </cell>
          <cell r="G445" t="str">
            <v>Requiere</v>
          </cell>
        </row>
        <row r="446">
          <cell r="A446" t="str">
            <v>NormalMediaMedioNo11</v>
          </cell>
          <cell r="B446" t="str">
            <v>Normal</v>
          </cell>
          <cell r="C446" t="str">
            <v>Media</v>
          </cell>
          <cell r="D446" t="str">
            <v>Medio</v>
          </cell>
          <cell r="E446" t="str">
            <v>No</v>
          </cell>
          <cell r="F446" t="str">
            <v>11.     Ofrecer Soporte de vida temprana (ELS)</v>
          </cell>
          <cell r="G446" t="str">
            <v>No requiere</v>
          </cell>
        </row>
        <row r="447">
          <cell r="A447" t="str">
            <v>NormalMediaMedioNo12</v>
          </cell>
          <cell r="B447" t="str">
            <v>Normal</v>
          </cell>
          <cell r="C447" t="str">
            <v>Media</v>
          </cell>
          <cell r="D447" t="str">
            <v>Medio</v>
          </cell>
          <cell r="E447" t="str">
            <v>No</v>
          </cell>
          <cell r="F447" t="str">
            <v xml:space="preserve">12.     Realizar validación y confirmación funcional </v>
          </cell>
          <cell r="G447" t="str">
            <v>Requiere</v>
          </cell>
        </row>
        <row r="448">
          <cell r="A448" t="str">
            <v>NormalMediaMedioNo13</v>
          </cell>
          <cell r="B448" t="str">
            <v>Normal</v>
          </cell>
          <cell r="C448" t="str">
            <v>Media</v>
          </cell>
          <cell r="D448" t="str">
            <v>Medio</v>
          </cell>
          <cell r="E448" t="str">
            <v>No</v>
          </cell>
          <cell r="F448" t="str">
            <v>13.   Realizar validación y confirmación técnica</v>
          </cell>
          <cell r="G448" t="str">
            <v>Requiere</v>
          </cell>
        </row>
        <row r="449">
          <cell r="A449" t="str">
            <v>NormalMediaMedioNo14</v>
          </cell>
          <cell r="B449" t="str">
            <v>Normal</v>
          </cell>
          <cell r="C449" t="str">
            <v>Media</v>
          </cell>
          <cell r="D449" t="str">
            <v>Medio</v>
          </cell>
          <cell r="E449" t="str">
            <v>No</v>
          </cell>
          <cell r="F449" t="str">
            <v>14.   Validación de Performance pre y post cambio</v>
          </cell>
          <cell r="G449" t="str">
            <v>No requiere</v>
          </cell>
        </row>
        <row r="450">
          <cell r="A450" t="str">
            <v>NormalMediaMedioNo2.</v>
          </cell>
          <cell r="B450" t="str">
            <v>Normal</v>
          </cell>
          <cell r="C450" t="str">
            <v>Media</v>
          </cell>
          <cell r="D450" t="str">
            <v>Medio</v>
          </cell>
          <cell r="E450" t="str">
            <v>No</v>
          </cell>
          <cell r="F450" t="str">
            <v>2.     Checklist Certificado</v>
          </cell>
          <cell r="G450" t="str">
            <v>No requiere</v>
          </cell>
        </row>
        <row r="451">
          <cell r="A451" t="str">
            <v>NormalMediaMedioNo3.</v>
          </cell>
          <cell r="B451" t="str">
            <v>Normal</v>
          </cell>
          <cell r="C451" t="str">
            <v>Media</v>
          </cell>
          <cell r="D451" t="str">
            <v>Medio</v>
          </cell>
          <cell r="E451" t="str">
            <v>No</v>
          </cell>
          <cell r="F451" t="str">
            <v>3.     Rollback Certificado en ambiente previo</v>
          </cell>
          <cell r="G451" t="str">
            <v>No requiere</v>
          </cell>
        </row>
        <row r="452">
          <cell r="A452" t="str">
            <v>NormalMediaMedioNo4.</v>
          </cell>
          <cell r="B452" t="str">
            <v>Normal</v>
          </cell>
          <cell r="C452" t="str">
            <v>Media</v>
          </cell>
          <cell r="D452" t="str">
            <v>Medio</v>
          </cell>
          <cell r="E452" t="str">
            <v>No</v>
          </cell>
          <cell r="F452" t="str">
            <v xml:space="preserve">4.     Confirmación de ejecución/funcionamiento correcto en Ambiente Previo </v>
          </cell>
          <cell r="G452" t="str">
            <v>Requiere</v>
          </cell>
        </row>
        <row r="453">
          <cell r="A453" t="str">
            <v>NormalMediaMedioNo6.</v>
          </cell>
          <cell r="B453" t="str">
            <v>Normal</v>
          </cell>
          <cell r="C453" t="str">
            <v>Media</v>
          </cell>
          <cell r="D453" t="str">
            <v>Medio</v>
          </cell>
          <cell r="E453" t="str">
            <v>No</v>
          </cell>
          <cell r="F453" t="str">
            <v>6.   Evaluación de Riesgos TI</v>
          </cell>
          <cell r="G453" t="str">
            <v>No requiere</v>
          </cell>
        </row>
        <row r="454">
          <cell r="A454" t="str">
            <v>NormalMediaMedioNo7.</v>
          </cell>
          <cell r="B454" t="str">
            <v>Normal</v>
          </cell>
          <cell r="C454" t="str">
            <v>Media</v>
          </cell>
          <cell r="D454" t="str">
            <v>Medio</v>
          </cell>
          <cell r="E454" t="str">
            <v>No</v>
          </cell>
          <cell r="F454" t="str">
            <v>7.     Análisis de reportes financieros</v>
          </cell>
          <cell r="G454" t="str">
            <v>No requiere</v>
          </cell>
        </row>
        <row r="455">
          <cell r="A455" t="str">
            <v>NormalMediaMedioNo8.</v>
          </cell>
          <cell r="B455" t="str">
            <v>Normal</v>
          </cell>
          <cell r="C455" t="str">
            <v>Media</v>
          </cell>
          <cell r="D455" t="str">
            <v>Medio</v>
          </cell>
          <cell r="E455" t="str">
            <v>No</v>
          </cell>
          <cell r="F455" t="str">
            <v>8.     Garantizar soporte Estándar</v>
          </cell>
          <cell r="G455" t="str">
            <v>Requiere</v>
          </cell>
        </row>
        <row r="456">
          <cell r="A456" t="str">
            <v>NormalMediaMedioNo9.</v>
          </cell>
          <cell r="B456" t="str">
            <v>Normal</v>
          </cell>
          <cell r="C456" t="str">
            <v>Media</v>
          </cell>
          <cell r="D456" t="str">
            <v>Medio</v>
          </cell>
          <cell r="E456" t="str">
            <v>No</v>
          </cell>
          <cell r="F456" t="str">
            <v xml:space="preserve">9.     Ofrecer Soporte físico </v>
          </cell>
          <cell r="G456" t="str">
            <v>No requiere</v>
          </cell>
        </row>
        <row r="457">
          <cell r="A457" t="str">
            <v>NormalMediaMedioSi1.</v>
          </cell>
          <cell r="B457" t="str">
            <v>Normal</v>
          </cell>
          <cell r="C457" t="str">
            <v>Media</v>
          </cell>
          <cell r="D457" t="str">
            <v>Medio</v>
          </cell>
          <cell r="E457" t="str">
            <v>Si</v>
          </cell>
          <cell r="F457" t="str">
            <v xml:space="preserve">1.     Documentación requerida estándar </v>
          </cell>
          <cell r="G457" t="str">
            <v>Requiere</v>
          </cell>
        </row>
        <row r="458">
          <cell r="A458" t="str">
            <v>NormalMediaMedioSi10</v>
          </cell>
          <cell r="B458" t="str">
            <v>Normal</v>
          </cell>
          <cell r="C458" t="str">
            <v>Media</v>
          </cell>
          <cell r="D458" t="str">
            <v>Medio</v>
          </cell>
          <cell r="E458" t="str">
            <v>Si</v>
          </cell>
          <cell r="F458" t="str">
            <v xml:space="preserve">10.     Ofrecer Soporte remoto </v>
          </cell>
          <cell r="G458" t="str">
            <v>Requiere</v>
          </cell>
        </row>
        <row r="459">
          <cell r="A459" t="str">
            <v>NormalMediaMedioSi11</v>
          </cell>
          <cell r="B459" t="str">
            <v>Normal</v>
          </cell>
          <cell r="C459" t="str">
            <v>Media</v>
          </cell>
          <cell r="D459" t="str">
            <v>Medio</v>
          </cell>
          <cell r="E459" t="str">
            <v>Si</v>
          </cell>
          <cell r="F459" t="str">
            <v>11.     Ofrecer Soporte de vida temprana (ELS)</v>
          </cell>
          <cell r="G459" t="str">
            <v>No requiere</v>
          </cell>
        </row>
        <row r="460">
          <cell r="A460" t="str">
            <v>NormalMediaMedioSi12</v>
          </cell>
          <cell r="B460" t="str">
            <v>Normal</v>
          </cell>
          <cell r="C460" t="str">
            <v>Media</v>
          </cell>
          <cell r="D460" t="str">
            <v>Medio</v>
          </cell>
          <cell r="E460" t="str">
            <v>Si</v>
          </cell>
          <cell r="F460" t="str">
            <v xml:space="preserve">12.     Realizar validación y confirmación funcional </v>
          </cell>
          <cell r="G460" t="str">
            <v>Requiere</v>
          </cell>
        </row>
        <row r="461">
          <cell r="A461" t="str">
            <v>NormalMediaMedioSi13</v>
          </cell>
          <cell r="B461" t="str">
            <v>Normal</v>
          </cell>
          <cell r="C461" t="str">
            <v>Media</v>
          </cell>
          <cell r="D461" t="str">
            <v>Medio</v>
          </cell>
          <cell r="E461" t="str">
            <v>Si</v>
          </cell>
          <cell r="F461" t="str">
            <v>13.   Realizar validación y confirmación técnica</v>
          </cell>
          <cell r="G461" t="str">
            <v>Requiere</v>
          </cell>
        </row>
        <row r="462">
          <cell r="A462" t="str">
            <v>NormalMediaMedioSi14</v>
          </cell>
          <cell r="B462" t="str">
            <v>Normal</v>
          </cell>
          <cell r="C462" t="str">
            <v>Media</v>
          </cell>
          <cell r="D462" t="str">
            <v>Medio</v>
          </cell>
          <cell r="E462" t="str">
            <v>Si</v>
          </cell>
          <cell r="F462" t="str">
            <v>14.   Validación de Performance pre y post cambio</v>
          </cell>
          <cell r="G462" t="str">
            <v>No requiere</v>
          </cell>
        </row>
        <row r="463">
          <cell r="A463" t="str">
            <v>NormalMediaMedioSi2.</v>
          </cell>
          <cell r="B463" t="str">
            <v>Normal</v>
          </cell>
          <cell r="C463" t="str">
            <v>Media</v>
          </cell>
          <cell r="D463" t="str">
            <v>Medio</v>
          </cell>
          <cell r="E463" t="str">
            <v>Si</v>
          </cell>
          <cell r="F463" t="str">
            <v>2.     Checklist Certificado</v>
          </cell>
          <cell r="G463" t="str">
            <v>No requiere</v>
          </cell>
        </row>
        <row r="464">
          <cell r="A464" t="str">
            <v>NormalMediaMedioSi3.</v>
          </cell>
          <cell r="B464" t="str">
            <v>Normal</v>
          </cell>
          <cell r="C464" t="str">
            <v>Media</v>
          </cell>
          <cell r="D464" t="str">
            <v>Medio</v>
          </cell>
          <cell r="E464" t="str">
            <v>Si</v>
          </cell>
          <cell r="F464" t="str">
            <v>3.     Rollback Certificado en ambiente previo</v>
          </cell>
          <cell r="G464" t="str">
            <v>No requiere</v>
          </cell>
        </row>
        <row r="465">
          <cell r="A465" t="str">
            <v>NormalMediaMedioSi4.</v>
          </cell>
          <cell r="B465" t="str">
            <v>Normal</v>
          </cell>
          <cell r="C465" t="str">
            <v>Media</v>
          </cell>
          <cell r="D465" t="str">
            <v>Medio</v>
          </cell>
          <cell r="E465" t="str">
            <v>Si</v>
          </cell>
          <cell r="F465" t="str">
            <v xml:space="preserve">4.     Confirmación de ejecución/funcionamiento correcto en Ambiente Previo </v>
          </cell>
          <cell r="G465" t="str">
            <v>Requiere</v>
          </cell>
        </row>
        <row r="466">
          <cell r="A466" t="str">
            <v>NormalMediaMedioSi6.</v>
          </cell>
          <cell r="B466" t="str">
            <v>Normal</v>
          </cell>
          <cell r="C466" t="str">
            <v>Media</v>
          </cell>
          <cell r="D466" t="str">
            <v>Medio</v>
          </cell>
          <cell r="E466" t="str">
            <v>Si</v>
          </cell>
          <cell r="F466" t="str">
            <v>6.   Evaluación de Riesgos TI</v>
          </cell>
          <cell r="G466" t="str">
            <v>No requiere</v>
          </cell>
        </row>
        <row r="467">
          <cell r="A467" t="str">
            <v>NormalMediaMedioSi7.</v>
          </cell>
          <cell r="B467" t="str">
            <v>Normal</v>
          </cell>
          <cell r="C467" t="str">
            <v>Media</v>
          </cell>
          <cell r="D467" t="str">
            <v>Medio</v>
          </cell>
          <cell r="E467" t="str">
            <v>Si</v>
          </cell>
          <cell r="F467" t="str">
            <v>7.     Análisis de reportes financieros</v>
          </cell>
          <cell r="G467" t="str">
            <v>No requiere</v>
          </cell>
        </row>
        <row r="468">
          <cell r="A468" t="str">
            <v>NormalMediaMedioSi8.</v>
          </cell>
          <cell r="B468" t="str">
            <v>Normal</v>
          </cell>
          <cell r="C468" t="str">
            <v>Media</v>
          </cell>
          <cell r="D468" t="str">
            <v>Medio</v>
          </cell>
          <cell r="E468" t="str">
            <v>Si</v>
          </cell>
          <cell r="F468" t="str">
            <v>8.     Garantizar soporte Estándar</v>
          </cell>
          <cell r="G468" t="str">
            <v>Requiere</v>
          </cell>
        </row>
        <row r="469">
          <cell r="A469" t="str">
            <v>NormalMediaMedioSi9.</v>
          </cell>
          <cell r="B469" t="str">
            <v>Normal</v>
          </cell>
          <cell r="C469" t="str">
            <v>Media</v>
          </cell>
          <cell r="D469" t="str">
            <v>Medio</v>
          </cell>
          <cell r="E469" t="str">
            <v>Si</v>
          </cell>
          <cell r="F469" t="str">
            <v xml:space="preserve">9.     Ofrecer Soporte físico </v>
          </cell>
          <cell r="G469" t="str">
            <v>No requiere</v>
          </cell>
        </row>
        <row r="470">
          <cell r="A470" t="str">
            <v>PreaprobadoBajaBajoNo1.</v>
          </cell>
          <cell r="B470" t="str">
            <v>Preaprobado</v>
          </cell>
          <cell r="C470" t="str">
            <v>Baja</v>
          </cell>
          <cell r="D470" t="str">
            <v>Bajo</v>
          </cell>
          <cell r="E470" t="str">
            <v>No</v>
          </cell>
          <cell r="F470" t="str">
            <v xml:space="preserve">1.     Documentación requerida estándar </v>
          </cell>
          <cell r="G470" t="str">
            <v>Requiere</v>
          </cell>
        </row>
        <row r="498">
          <cell r="A498" t="str">
            <v>CritImpacto</v>
          </cell>
          <cell r="B498" t="str">
            <v>Criticidad</v>
          </cell>
          <cell r="C498" t="str">
            <v>Impacto</v>
          </cell>
          <cell r="D498" t="str">
            <v>Eval Riesgo</v>
          </cell>
        </row>
        <row r="499">
          <cell r="A499" t="str">
            <v>AltaAlto</v>
          </cell>
          <cell r="B499" t="str">
            <v>Alta</v>
          </cell>
          <cell r="C499" t="str">
            <v>Alto</v>
          </cell>
          <cell r="D499" t="str">
            <v>Riesgo Alto</v>
          </cell>
        </row>
        <row r="500">
          <cell r="A500" t="str">
            <v>AltaMedio</v>
          </cell>
          <cell r="B500" t="str">
            <v>Alta</v>
          </cell>
          <cell r="C500" t="str">
            <v>Medio</v>
          </cell>
          <cell r="D500" t="str">
            <v>Riesgo Alto</v>
          </cell>
        </row>
        <row r="501">
          <cell r="A501" t="str">
            <v>AltaBajo</v>
          </cell>
          <cell r="B501" t="str">
            <v>Alta</v>
          </cell>
          <cell r="C501" t="str">
            <v>Bajo</v>
          </cell>
          <cell r="D501" t="str">
            <v>Riesgo Medio</v>
          </cell>
        </row>
        <row r="502">
          <cell r="A502" t="str">
            <v>MediaAlto</v>
          </cell>
          <cell r="B502" t="str">
            <v>Media</v>
          </cell>
          <cell r="C502" t="str">
            <v>Alto</v>
          </cell>
          <cell r="D502" t="str">
            <v>Riesgo Alto</v>
          </cell>
        </row>
        <row r="503">
          <cell r="A503" t="str">
            <v>MediaMedio</v>
          </cell>
          <cell r="B503" t="str">
            <v>Media</v>
          </cell>
          <cell r="C503" t="str">
            <v>Medio</v>
          </cell>
          <cell r="D503" t="str">
            <v>Riesgo Medio</v>
          </cell>
        </row>
        <row r="504">
          <cell r="A504" t="str">
            <v>MediaBajo</v>
          </cell>
          <cell r="B504" t="str">
            <v>Media</v>
          </cell>
          <cell r="C504" t="str">
            <v>Bajo</v>
          </cell>
          <cell r="D504" t="str">
            <v>Riesgo Bajo</v>
          </cell>
        </row>
        <row r="505">
          <cell r="A505" t="str">
            <v>BajaAlto</v>
          </cell>
          <cell r="B505" t="str">
            <v>Baja</v>
          </cell>
          <cell r="C505" t="str">
            <v>Alto</v>
          </cell>
          <cell r="D505" t="str">
            <v>Riesgo Medio</v>
          </cell>
        </row>
        <row r="506">
          <cell r="A506" t="str">
            <v>BajaMedio</v>
          </cell>
          <cell r="B506" t="str">
            <v>Baja</v>
          </cell>
          <cell r="C506" t="str">
            <v>Medio</v>
          </cell>
          <cell r="D506" t="str">
            <v>Riesgo Bajo</v>
          </cell>
        </row>
        <row r="507">
          <cell r="A507" t="str">
            <v>BajaBajo</v>
          </cell>
          <cell r="B507" t="str">
            <v>Baja</v>
          </cell>
          <cell r="C507" t="str">
            <v>Bajo</v>
          </cell>
          <cell r="D507" t="str">
            <v>Riesgo Bajo</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ndo OC"/>
      <sheetName val="Parametros"/>
    </sheetNames>
    <sheetDataSet>
      <sheetData sheetId="0" refreshError="1"/>
      <sheetData sheetId="1" refreshError="1">
        <row r="1">
          <cell r="A1" t="str">
            <v>Id</v>
          </cell>
        </row>
        <row r="402">
          <cell r="A402" t="str">
            <v>Online: Canales de Atención clientes, Administrativos - aplicaciones Criticas</v>
          </cell>
          <cell r="B402" t="str">
            <v>Alta</v>
          </cell>
        </row>
        <row r="403">
          <cell r="A403" t="str">
            <v>Online: Administrativos - Aplicaciones no Criticas</v>
          </cell>
          <cell r="B403" t="str">
            <v>Media</v>
          </cell>
        </row>
        <row r="404">
          <cell r="A404" t="str">
            <v>Online: Sólo componentes nuevos que no impactan a otras funcionalidades y aplicaciones</v>
          </cell>
          <cell r="B404" t="str">
            <v>Baja</v>
          </cell>
        </row>
        <row r="405">
          <cell r="A405" t="str">
            <v xml:space="preserve">Batch: Modificación de la Ruta Critica </v>
          </cell>
          <cell r="B405" t="str">
            <v>Alta</v>
          </cell>
        </row>
        <row r="406">
          <cell r="A406" t="str">
            <v>Batch: No modifica la ruta crítica ni procesos críticos, pero se encuentra relacionado con otras aplicaciones</v>
          </cell>
          <cell r="B406" t="str">
            <v>Media</v>
          </cell>
        </row>
        <row r="407">
          <cell r="A407" t="str">
            <v>Batch: Afecta a Procesos Críticos</v>
          </cell>
          <cell r="B407" t="str">
            <v>Media</v>
          </cell>
        </row>
        <row r="408">
          <cell r="A408" t="str">
            <v>Batch: Componentes nuevos, no afectan la ruta Critica ni procesos críticos y no está relacionado con otras aplicaciones</v>
          </cell>
          <cell r="B408" t="str">
            <v>Baja</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2:C7" totalsRowShown="0" headerRowDxfId="7" dataDxfId="5" headerRowBorderDxfId="6" tableBorderDxfId="4" totalsRowBorderDxfId="3">
  <tableColumns count="3">
    <tableColumn id="1" xr3:uid="{00000000-0010-0000-0000-000001000000}" name="Pestaña" dataDxfId="2"/>
    <tableColumn id="2" xr3:uid="{00000000-0010-0000-0000-000002000000}" name="Descripción" dataDxfId="1"/>
    <tableColumn id="3" xr3:uid="{00000000-0010-0000-0000-000003000000}" name="Tipo"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theme="0"/>
  </sheetPr>
  <dimension ref="A1:L134"/>
  <sheetViews>
    <sheetView zoomScale="60" zoomScaleNormal="60" workbookViewId="0">
      <pane ySplit="1" topLeftCell="A106" activePane="bottomLeft" state="frozen"/>
      <selection pane="bottomLeft" activeCell="D11" sqref="D11"/>
    </sheetView>
  </sheetViews>
  <sheetFormatPr baseColWidth="10" defaultColWidth="10.90625" defaultRowHeight="14.5" x14ac:dyDescent="0.35"/>
  <cols>
    <col min="1" max="1" width="5.6328125" style="10" customWidth="1"/>
    <col min="2" max="2" width="71.6328125" style="9" customWidth="1"/>
    <col min="3" max="3" width="61.54296875" style="9" customWidth="1"/>
    <col min="4" max="4" width="70.6328125" style="120" customWidth="1"/>
    <col min="5" max="12" width="10.90625" style="11"/>
  </cols>
  <sheetData>
    <row r="1" spans="1:12" s="49" customFormat="1" ht="69.900000000000006" customHeight="1" x14ac:dyDescent="0.35">
      <c r="A1" s="47"/>
      <c r="B1" s="209" t="s">
        <v>171</v>
      </c>
      <c r="C1" s="210"/>
      <c r="D1" s="120"/>
      <c r="E1" s="48"/>
      <c r="F1" s="48"/>
      <c r="G1" s="48"/>
      <c r="H1" s="48"/>
      <c r="I1" s="48"/>
      <c r="J1" s="48"/>
      <c r="K1" s="48"/>
      <c r="L1" s="48"/>
    </row>
    <row r="2" spans="1:12" x14ac:dyDescent="0.35">
      <c r="C2" s="10"/>
    </row>
    <row r="3" spans="1:12" s="41" customFormat="1" ht="24.75" customHeight="1" x14ac:dyDescent="0.35">
      <c r="A3" s="39"/>
      <c r="B3" s="212" t="s">
        <v>165</v>
      </c>
      <c r="C3" s="213"/>
      <c r="D3" s="120"/>
      <c r="E3" s="40"/>
      <c r="F3" s="40"/>
      <c r="G3" s="127"/>
      <c r="H3" s="127"/>
      <c r="I3" s="40"/>
      <c r="J3" s="40"/>
      <c r="K3" s="40"/>
      <c r="L3" s="40"/>
    </row>
    <row r="4" spans="1:12" x14ac:dyDescent="0.35">
      <c r="B4" s="10"/>
      <c r="C4" s="10"/>
    </row>
    <row r="5" spans="1:12" s="86" customFormat="1" ht="39.9" customHeight="1" x14ac:dyDescent="0.35">
      <c r="A5" s="13" t="s">
        <v>33</v>
      </c>
      <c r="B5" s="211" t="s">
        <v>228</v>
      </c>
      <c r="C5" s="211"/>
      <c r="D5" s="120"/>
      <c r="E5" s="85"/>
      <c r="F5" s="85"/>
      <c r="G5" s="85"/>
      <c r="H5" s="85"/>
      <c r="I5" s="85"/>
      <c r="J5" s="85"/>
      <c r="K5" s="85"/>
      <c r="L5" s="85"/>
    </row>
    <row r="6" spans="1:12" ht="20.149999999999999" customHeight="1" x14ac:dyDescent="0.35">
      <c r="A6" s="12"/>
      <c r="B6" s="104" t="s">
        <v>229</v>
      </c>
      <c r="C6" s="201" t="s">
        <v>495</v>
      </c>
    </row>
    <row r="7" spans="1:12" ht="20.149999999999999" customHeight="1" x14ac:dyDescent="0.35">
      <c r="A7" s="12"/>
      <c r="B7" s="104" t="s">
        <v>230</v>
      </c>
      <c r="C7" s="201" t="s">
        <v>496</v>
      </c>
    </row>
    <row r="8" spans="1:12" x14ac:dyDescent="0.35">
      <c r="B8" s="10"/>
      <c r="C8" s="10"/>
    </row>
    <row r="9" spans="1:12" s="86" customFormat="1" ht="39.9" customHeight="1" x14ac:dyDescent="0.35">
      <c r="A9" s="13" t="s">
        <v>34</v>
      </c>
      <c r="B9" s="91" t="s">
        <v>88</v>
      </c>
      <c r="C9" s="87" t="s">
        <v>25</v>
      </c>
      <c r="D9" s="120" t="s">
        <v>397</v>
      </c>
      <c r="E9" s="85"/>
      <c r="F9" s="127"/>
      <c r="G9" s="85"/>
      <c r="H9" s="85"/>
      <c r="I9" s="85"/>
      <c r="J9" s="85"/>
      <c r="K9" s="85"/>
      <c r="L9" s="85"/>
    </row>
    <row r="10" spans="1:12" x14ac:dyDescent="0.35">
      <c r="B10" s="10"/>
      <c r="C10" s="10"/>
    </row>
    <row r="11" spans="1:12" s="86" customFormat="1" ht="39.9" customHeight="1" x14ac:dyDescent="0.35">
      <c r="A11" s="13" t="s">
        <v>187</v>
      </c>
      <c r="B11" s="91" t="s">
        <v>186</v>
      </c>
      <c r="C11" s="88"/>
      <c r="D11" s="120"/>
      <c r="E11" s="85"/>
      <c r="F11" s="85"/>
      <c r="G11" s="85"/>
      <c r="H11" s="85"/>
      <c r="I11" s="85"/>
      <c r="J11" s="85"/>
      <c r="K11" s="85"/>
      <c r="L11" s="85"/>
    </row>
    <row r="12" spans="1:12" x14ac:dyDescent="0.35">
      <c r="B12" s="10"/>
      <c r="C12" s="10"/>
    </row>
    <row r="13" spans="1:12" ht="39.9" customHeight="1" x14ac:dyDescent="0.35">
      <c r="A13" s="13" t="s">
        <v>35</v>
      </c>
      <c r="B13" s="112" t="s">
        <v>183</v>
      </c>
      <c r="C13" s="42" t="s">
        <v>26</v>
      </c>
    </row>
    <row r="14" spans="1:12" s="18" customFormat="1" ht="24.9" customHeight="1" x14ac:dyDescent="0.35">
      <c r="A14" s="105"/>
      <c r="B14" s="106" t="s">
        <v>206</v>
      </c>
      <c r="C14" s="79" t="s">
        <v>26</v>
      </c>
      <c r="D14" s="121" t="s">
        <v>223</v>
      </c>
      <c r="E14" s="75"/>
      <c r="F14" s="75"/>
      <c r="G14" s="75"/>
      <c r="H14" s="75"/>
      <c r="I14" s="75"/>
      <c r="J14" s="75"/>
      <c r="K14" s="75"/>
      <c r="L14" s="75"/>
    </row>
    <row r="15" spans="1:12" x14ac:dyDescent="0.35">
      <c r="B15" s="10"/>
      <c r="C15" s="10"/>
      <c r="D15" s="122"/>
    </row>
    <row r="16" spans="1:12" s="86" customFormat="1" ht="39.9" customHeight="1" x14ac:dyDescent="0.35">
      <c r="A16" s="13" t="s">
        <v>39</v>
      </c>
      <c r="B16" s="91" t="s">
        <v>205</v>
      </c>
      <c r="C16" s="84" t="s">
        <v>487</v>
      </c>
      <c r="D16" s="120"/>
      <c r="E16" s="85"/>
      <c r="F16" s="85"/>
      <c r="G16" s="85"/>
      <c r="H16" s="85"/>
      <c r="I16" s="85"/>
      <c r="J16" s="85"/>
      <c r="K16" s="85"/>
      <c r="L16" s="85"/>
    </row>
    <row r="17" spans="1:12" x14ac:dyDescent="0.35">
      <c r="B17" s="10"/>
      <c r="C17" s="10"/>
      <c r="D17" s="122"/>
    </row>
    <row r="18" spans="1:12" ht="39.9" customHeight="1" x14ac:dyDescent="0.35">
      <c r="A18" s="13" t="s">
        <v>36</v>
      </c>
      <c r="B18" s="91" t="s">
        <v>204</v>
      </c>
      <c r="C18" s="84" t="s">
        <v>487</v>
      </c>
    </row>
    <row r="19" spans="1:12" x14ac:dyDescent="0.35">
      <c r="B19" s="10"/>
      <c r="C19" s="10"/>
    </row>
    <row r="20" spans="1:12" s="86" customFormat="1" ht="39.9" customHeight="1" x14ac:dyDescent="0.35">
      <c r="A20" s="13" t="s">
        <v>37</v>
      </c>
      <c r="B20" s="207" t="s">
        <v>431</v>
      </c>
      <c r="C20" s="208"/>
      <c r="D20" s="120"/>
      <c r="E20" s="85"/>
      <c r="F20" s="85"/>
      <c r="G20" s="85"/>
      <c r="H20" s="85"/>
      <c r="I20" s="85"/>
      <c r="J20" s="85"/>
      <c r="K20" s="85"/>
      <c r="L20" s="85"/>
    </row>
    <row r="21" spans="1:12" s="18" customFormat="1" ht="24.9" customHeight="1" x14ac:dyDescent="0.35">
      <c r="A21" s="105"/>
      <c r="B21" s="106" t="s">
        <v>169</v>
      </c>
      <c r="C21" s="128" t="s">
        <v>89</v>
      </c>
      <c r="D21" s="121"/>
      <c r="F21" s="75"/>
      <c r="G21" s="75"/>
      <c r="H21" s="75"/>
      <c r="I21" s="75"/>
      <c r="J21" s="75"/>
      <c r="K21" s="75"/>
      <c r="L21" s="75"/>
    </row>
    <row r="22" spans="1:12" x14ac:dyDescent="0.35">
      <c r="B22" s="10"/>
      <c r="C22" s="10"/>
    </row>
    <row r="23" spans="1:12" s="86" customFormat="1" ht="39.9" customHeight="1" x14ac:dyDescent="0.35">
      <c r="A23" s="13" t="s">
        <v>38</v>
      </c>
      <c r="B23" s="91" t="s">
        <v>90</v>
      </c>
      <c r="C23" s="89" t="s">
        <v>488</v>
      </c>
      <c r="D23" s="120"/>
      <c r="E23" s="85"/>
      <c r="F23" s="85"/>
      <c r="G23" s="85"/>
      <c r="H23" s="85"/>
      <c r="I23" s="85"/>
      <c r="J23" s="85"/>
      <c r="K23" s="85"/>
      <c r="L23" s="85"/>
    </row>
    <row r="24" spans="1:12" ht="20.149999999999999" customHeight="1" x14ac:dyDescent="0.35">
      <c r="B24" s="107" t="str">
        <f>"Indicar el nombre de"&amp;IF(C23="Batch","l job afectado:"," la transacción afectada:")</f>
        <v>Indicar el nombre de la transacción afectada:</v>
      </c>
      <c r="C24" s="201" t="s">
        <v>26</v>
      </c>
    </row>
    <row r="25" spans="1:12" x14ac:dyDescent="0.35">
      <c r="B25" s="10"/>
      <c r="C25" s="10"/>
    </row>
    <row r="26" spans="1:12" s="86" customFormat="1" ht="39.9" customHeight="1" x14ac:dyDescent="0.35">
      <c r="A26" s="13" t="s">
        <v>40</v>
      </c>
      <c r="B26" s="91" t="s">
        <v>91</v>
      </c>
      <c r="C26" s="89" t="s">
        <v>340</v>
      </c>
      <c r="D26" s="120"/>
      <c r="E26" s="85"/>
      <c r="F26" s="85"/>
      <c r="G26" s="85"/>
      <c r="H26" s="85"/>
      <c r="I26" s="85"/>
      <c r="J26" s="85"/>
      <c r="K26" s="85"/>
      <c r="L26" s="85"/>
    </row>
    <row r="27" spans="1:12" s="41" customFormat="1" ht="24.9" customHeight="1" x14ac:dyDescent="0.35">
      <c r="A27" s="39"/>
      <c r="B27" s="46" t="s">
        <v>168</v>
      </c>
      <c r="C27" s="202" t="s">
        <v>487</v>
      </c>
      <c r="D27" s="120" t="s">
        <v>224</v>
      </c>
      <c r="E27" s="40"/>
      <c r="F27" s="40"/>
      <c r="G27" s="40"/>
      <c r="H27" s="40"/>
      <c r="I27" s="40"/>
      <c r="J27" s="40"/>
      <c r="K27" s="40"/>
      <c r="L27" s="40"/>
    </row>
    <row r="28" spans="1:12" x14ac:dyDescent="0.35">
      <c r="B28" s="10"/>
      <c r="C28" s="10"/>
    </row>
    <row r="29" spans="1:12" s="86" customFormat="1" ht="39.9" customHeight="1" x14ac:dyDescent="0.35">
      <c r="A29" s="13" t="s">
        <v>41</v>
      </c>
      <c r="B29" s="91" t="s">
        <v>200</v>
      </c>
      <c r="C29" s="78" t="s">
        <v>26</v>
      </c>
      <c r="D29" s="120" t="s">
        <v>220</v>
      </c>
      <c r="E29" s="85"/>
      <c r="F29" s="85"/>
      <c r="G29" s="85"/>
      <c r="H29" s="85"/>
      <c r="I29" s="85"/>
      <c r="J29" s="85"/>
      <c r="K29" s="85"/>
      <c r="L29" s="85"/>
    </row>
    <row r="30" spans="1:12" ht="3" customHeight="1" x14ac:dyDescent="0.35">
      <c r="B30" s="10"/>
      <c r="C30" s="10"/>
    </row>
    <row r="31" spans="1:12" ht="26.4" customHeight="1" x14ac:dyDescent="0.35">
      <c r="B31" s="107" t="s">
        <v>345</v>
      </c>
      <c r="C31" s="10"/>
      <c r="D31" s="120" t="s">
        <v>346</v>
      </c>
    </row>
    <row r="32" spans="1:12" x14ac:dyDescent="0.35">
      <c r="B32" s="10"/>
      <c r="C32" s="10"/>
    </row>
    <row r="33" spans="1:12" x14ac:dyDescent="0.35">
      <c r="B33" s="10"/>
      <c r="C33" s="10"/>
    </row>
    <row r="34" spans="1:12" s="86" customFormat="1" ht="39.9" customHeight="1" x14ac:dyDescent="0.35">
      <c r="A34" s="13" t="s">
        <v>42</v>
      </c>
      <c r="B34" s="207" t="s">
        <v>221</v>
      </c>
      <c r="C34" s="208"/>
      <c r="D34" s="120"/>
      <c r="E34" s="85"/>
      <c r="F34" s="85"/>
      <c r="G34" s="85"/>
      <c r="H34" s="85"/>
      <c r="I34" s="85"/>
      <c r="J34" s="85"/>
      <c r="K34" s="85"/>
      <c r="L34" s="85"/>
    </row>
    <row r="35" spans="1:12" s="18" customFormat="1" ht="20.149999999999999" customHeight="1" x14ac:dyDescent="0.35">
      <c r="A35" s="105"/>
      <c r="B35" s="97" t="s">
        <v>184</v>
      </c>
      <c r="C35" s="43" t="s">
        <v>490</v>
      </c>
      <c r="D35" s="121"/>
      <c r="E35" s="75"/>
      <c r="F35" s="75"/>
      <c r="G35" s="75"/>
      <c r="H35" s="75"/>
      <c r="I35" s="75"/>
      <c r="J35" s="75"/>
      <c r="K35" s="75"/>
      <c r="L35" s="75"/>
    </row>
    <row r="36" spans="1:12" s="18" customFormat="1" ht="20.149999999999999" customHeight="1" x14ac:dyDescent="0.35">
      <c r="A36" s="105"/>
      <c r="B36" s="97" t="s">
        <v>12</v>
      </c>
      <c r="C36" s="43"/>
      <c r="D36" s="121"/>
      <c r="E36" s="75"/>
      <c r="F36" s="75"/>
      <c r="G36" s="75"/>
      <c r="H36" s="75"/>
      <c r="I36" s="75"/>
      <c r="J36" s="75"/>
      <c r="K36" s="75"/>
      <c r="L36" s="75"/>
    </row>
    <row r="37" spans="1:12" s="18" customFormat="1" ht="20.149999999999999" customHeight="1" x14ac:dyDescent="0.35">
      <c r="A37" s="105"/>
      <c r="B37" s="97" t="s">
        <v>201</v>
      </c>
      <c r="C37" s="43"/>
      <c r="D37" s="121"/>
      <c r="E37" s="75"/>
      <c r="F37" s="75"/>
      <c r="G37" s="75"/>
      <c r="H37" s="75"/>
      <c r="I37" s="75"/>
      <c r="J37" s="75"/>
      <c r="K37" s="75"/>
      <c r="L37" s="75"/>
    </row>
    <row r="38" spans="1:12" s="18" customFormat="1" ht="20.149999999999999" customHeight="1" x14ac:dyDescent="0.35">
      <c r="A38" s="105"/>
      <c r="B38" s="97" t="s">
        <v>11</v>
      </c>
      <c r="C38" s="43"/>
      <c r="D38" s="121"/>
      <c r="E38" s="75"/>
      <c r="F38" s="75"/>
      <c r="G38" s="75"/>
      <c r="H38" s="75"/>
      <c r="I38" s="75"/>
      <c r="J38" s="75"/>
      <c r="K38" s="75"/>
      <c r="L38" s="75"/>
    </row>
    <row r="39" spans="1:12" s="18" customFormat="1" ht="20.149999999999999" customHeight="1" x14ac:dyDescent="0.35">
      <c r="A39" s="105"/>
      <c r="B39" s="97" t="s">
        <v>207</v>
      </c>
      <c r="C39" s="43"/>
      <c r="D39" s="121"/>
      <c r="E39" s="75"/>
      <c r="F39" s="75"/>
      <c r="G39" s="75"/>
      <c r="H39" s="75"/>
      <c r="I39" s="75"/>
      <c r="J39" s="75"/>
      <c r="K39" s="75"/>
      <c r="L39" s="75"/>
    </row>
    <row r="40" spans="1:12" s="18" customFormat="1" ht="20.149999999999999" customHeight="1" x14ac:dyDescent="0.35">
      <c r="A40" s="105"/>
      <c r="B40" s="97" t="s">
        <v>43</v>
      </c>
      <c r="C40" s="43"/>
      <c r="D40" s="121"/>
      <c r="E40" s="75"/>
      <c r="F40" s="75"/>
      <c r="G40" s="75"/>
      <c r="H40" s="75"/>
      <c r="I40" s="75"/>
      <c r="J40" s="75"/>
      <c r="K40" s="75"/>
      <c r="L40" s="75"/>
    </row>
    <row r="41" spans="1:12" x14ac:dyDescent="0.35">
      <c r="B41" s="10"/>
      <c r="C41" s="10"/>
    </row>
    <row r="42" spans="1:12" s="85" customFormat="1" ht="39.9" customHeight="1" x14ac:dyDescent="0.35">
      <c r="A42" s="13" t="s">
        <v>44</v>
      </c>
      <c r="B42" s="207" t="s">
        <v>202</v>
      </c>
      <c r="C42" s="208"/>
      <c r="D42" s="120"/>
    </row>
    <row r="43" spans="1:12" s="11" customFormat="1" ht="24.9" customHeight="1" x14ac:dyDescent="0.35">
      <c r="A43" s="12"/>
      <c r="B43" s="38" t="s">
        <v>208</v>
      </c>
      <c r="C43" s="79" t="s">
        <v>26</v>
      </c>
      <c r="D43" s="120" t="s">
        <v>222</v>
      </c>
    </row>
    <row r="44" spans="1:12" s="11" customFormat="1" ht="24.9" customHeight="1" x14ac:dyDescent="0.35">
      <c r="A44" s="12"/>
      <c r="B44" s="17" t="s">
        <v>209</v>
      </c>
      <c r="C44" s="79" t="s">
        <v>26</v>
      </c>
      <c r="D44" s="120" t="s">
        <v>225</v>
      </c>
    </row>
    <row r="45" spans="1:12" s="11" customFormat="1" ht="24.9" customHeight="1" x14ac:dyDescent="0.35">
      <c r="A45" s="12"/>
      <c r="B45" s="92" t="s">
        <v>66</v>
      </c>
      <c r="C45" s="16" t="str">
        <f>IF(OR(C43="Si",C44="Si"),"Si","No")</f>
        <v>No</v>
      </c>
      <c r="D45" s="120"/>
    </row>
    <row r="46" spans="1:12" x14ac:dyDescent="0.35">
      <c r="B46" s="10"/>
      <c r="C46" s="10"/>
    </row>
    <row r="47" spans="1:12" s="86" customFormat="1" ht="39.9" customHeight="1" x14ac:dyDescent="0.35">
      <c r="A47" s="13" t="s">
        <v>45</v>
      </c>
      <c r="B47" s="214" t="s">
        <v>93</v>
      </c>
      <c r="C47" s="215"/>
      <c r="D47" s="120"/>
      <c r="E47" s="85"/>
      <c r="F47" s="85"/>
      <c r="G47" s="85"/>
      <c r="H47" s="85"/>
      <c r="I47" s="85"/>
      <c r="J47" s="85"/>
      <c r="K47" s="85"/>
      <c r="L47" s="85"/>
    </row>
    <row r="48" spans="1:12" x14ac:dyDescent="0.35">
      <c r="B48" s="90" t="s">
        <v>94</v>
      </c>
      <c r="C48" s="45" t="s">
        <v>95</v>
      </c>
    </row>
    <row r="49" spans="1:12" s="18" customFormat="1" ht="20.149999999999999" customHeight="1" x14ac:dyDescent="0.35">
      <c r="A49" s="105"/>
      <c r="B49" s="97" t="s">
        <v>96</v>
      </c>
      <c r="C49" s="43" t="s">
        <v>332</v>
      </c>
      <c r="D49" s="121"/>
      <c r="E49" s="75"/>
      <c r="F49" s="75"/>
      <c r="G49" s="75"/>
      <c r="H49" s="75"/>
      <c r="I49" s="75"/>
      <c r="J49" s="75"/>
      <c r="K49" s="75"/>
      <c r="L49" s="75"/>
    </row>
    <row r="50" spans="1:12" s="18" customFormat="1" ht="20.149999999999999" customHeight="1" x14ac:dyDescent="0.35">
      <c r="A50" s="105"/>
      <c r="B50" s="97" t="s">
        <v>76</v>
      </c>
      <c r="C50" s="43" t="s">
        <v>5</v>
      </c>
      <c r="D50" s="121"/>
      <c r="E50" s="75"/>
      <c r="F50" s="75"/>
      <c r="G50" s="75"/>
      <c r="H50" s="75"/>
      <c r="I50" s="75"/>
      <c r="J50" s="75"/>
      <c r="K50" s="75"/>
      <c r="L50" s="75"/>
    </row>
    <row r="51" spans="1:12" s="18" customFormat="1" ht="20.149999999999999" customHeight="1" x14ac:dyDescent="0.35">
      <c r="A51" s="105"/>
      <c r="B51" s="97" t="s">
        <v>77</v>
      </c>
      <c r="C51" s="43" t="s">
        <v>332</v>
      </c>
      <c r="D51" s="121"/>
      <c r="E51" s="75"/>
      <c r="F51" s="75"/>
      <c r="G51" s="75"/>
      <c r="H51" s="75"/>
      <c r="I51" s="75"/>
      <c r="J51" s="75"/>
      <c r="K51" s="75"/>
      <c r="L51" s="75"/>
    </row>
    <row r="52" spans="1:12" ht="24.9" customHeight="1" x14ac:dyDescent="0.35">
      <c r="B52" s="15" t="s">
        <v>97</v>
      </c>
      <c r="C52" s="16" t="str">
        <f>IF(NOT(ISBLANK(C49)),"Alta",IF(NOT(ISBLANK(C50)),"Media",IF(NOT(ISBLANK(C51)),"Baja","Sin evaluar")))</f>
        <v>Alta</v>
      </c>
    </row>
    <row r="53" spans="1:12" x14ac:dyDescent="0.35">
      <c r="B53" s="28" t="s">
        <v>98</v>
      </c>
      <c r="C53" s="29"/>
    </row>
    <row r="54" spans="1:12" ht="12" customHeight="1" x14ac:dyDescent="0.35">
      <c r="B54" s="30" t="s">
        <v>99</v>
      </c>
      <c r="C54" s="30" t="s">
        <v>100</v>
      </c>
    </row>
    <row r="55" spans="1:12" ht="12" customHeight="1" x14ac:dyDescent="0.35">
      <c r="B55" s="29" t="s">
        <v>101</v>
      </c>
      <c r="C55" s="31" t="s">
        <v>154</v>
      </c>
    </row>
    <row r="56" spans="1:12" ht="12" customHeight="1" x14ac:dyDescent="0.35">
      <c r="B56" s="29" t="s">
        <v>103</v>
      </c>
      <c r="C56" s="31" t="s">
        <v>153</v>
      </c>
      <c r="F56" s="31"/>
    </row>
    <row r="57" spans="1:12" ht="12" customHeight="1" x14ac:dyDescent="0.35">
      <c r="B57" s="29" t="s">
        <v>104</v>
      </c>
      <c r="C57" s="31" t="s">
        <v>158</v>
      </c>
      <c r="F57" s="31"/>
    </row>
    <row r="58" spans="1:12" ht="12" customHeight="1" x14ac:dyDescent="0.35">
      <c r="B58" s="29" t="s">
        <v>105</v>
      </c>
      <c r="C58" s="9" t="s">
        <v>157</v>
      </c>
      <c r="F58" s="31"/>
    </row>
    <row r="59" spans="1:12" ht="12" customHeight="1" x14ac:dyDescent="0.35">
      <c r="B59" s="29" t="s">
        <v>151</v>
      </c>
      <c r="C59" s="31" t="s">
        <v>102</v>
      </c>
      <c r="F59" s="31"/>
    </row>
    <row r="60" spans="1:12" ht="12" customHeight="1" x14ac:dyDescent="0.35">
      <c r="B60" s="29" t="s">
        <v>152</v>
      </c>
      <c r="C60" s="31" t="s">
        <v>155</v>
      </c>
      <c r="F60" s="31"/>
    </row>
    <row r="61" spans="1:12" ht="12" customHeight="1" x14ac:dyDescent="0.35">
      <c r="B61" s="29" t="s">
        <v>150</v>
      </c>
      <c r="C61" s="31" t="s">
        <v>107</v>
      </c>
      <c r="F61" s="31"/>
    </row>
    <row r="62" spans="1:12" ht="12" customHeight="1" x14ac:dyDescent="0.35">
      <c r="B62" s="29" t="s">
        <v>106</v>
      </c>
      <c r="C62" s="31" t="s">
        <v>112</v>
      </c>
      <c r="F62" s="31"/>
    </row>
    <row r="63" spans="1:12" ht="12" customHeight="1" x14ac:dyDescent="0.35">
      <c r="B63" s="29" t="s">
        <v>108</v>
      </c>
      <c r="C63" s="31" t="s">
        <v>156</v>
      </c>
      <c r="F63" s="31"/>
    </row>
    <row r="64" spans="1:12" ht="12" customHeight="1" x14ac:dyDescent="0.35">
      <c r="B64" s="29" t="s">
        <v>145</v>
      </c>
      <c r="C64" s="31" t="s">
        <v>159</v>
      </c>
      <c r="F64" s="31"/>
    </row>
    <row r="65" spans="2:6" ht="12" customHeight="1" x14ac:dyDescent="0.35">
      <c r="B65" s="29"/>
      <c r="C65" s="31" t="s">
        <v>160</v>
      </c>
      <c r="F65" s="31"/>
    </row>
    <row r="66" spans="2:6" ht="12" customHeight="1" x14ac:dyDescent="0.35">
      <c r="B66" s="32" t="s">
        <v>100</v>
      </c>
      <c r="C66" s="31" t="s">
        <v>161</v>
      </c>
      <c r="F66" s="31"/>
    </row>
    <row r="67" spans="2:6" ht="12" customHeight="1" x14ac:dyDescent="0.35">
      <c r="B67" s="31" t="s">
        <v>146</v>
      </c>
      <c r="C67" s="31" t="s">
        <v>162</v>
      </c>
      <c r="F67" s="31"/>
    </row>
    <row r="68" spans="2:6" ht="12" customHeight="1" x14ac:dyDescent="0.35">
      <c r="B68" s="31" t="s">
        <v>147</v>
      </c>
      <c r="C68" s="31" t="s">
        <v>109</v>
      </c>
      <c r="F68" s="31"/>
    </row>
    <row r="69" spans="2:6" ht="12" customHeight="1" x14ac:dyDescent="0.35">
      <c r="B69" s="31" t="s">
        <v>142</v>
      </c>
      <c r="C69" s="31" t="s">
        <v>110</v>
      </c>
      <c r="F69" s="31"/>
    </row>
    <row r="70" spans="2:6" ht="12" customHeight="1" x14ac:dyDescent="0.35">
      <c r="B70" s="31" t="s">
        <v>111</v>
      </c>
      <c r="C70" s="31" t="s">
        <v>163</v>
      </c>
      <c r="F70" s="31"/>
    </row>
    <row r="71" spans="2:6" ht="12" customHeight="1" x14ac:dyDescent="0.35">
      <c r="B71" s="31" t="s">
        <v>113</v>
      </c>
      <c r="C71" s="31" t="s">
        <v>115</v>
      </c>
      <c r="F71" s="31"/>
    </row>
    <row r="72" spans="2:6" ht="12" customHeight="1" x14ac:dyDescent="0.35">
      <c r="B72" s="31" t="s">
        <v>114</v>
      </c>
      <c r="C72" s="31" t="s">
        <v>164</v>
      </c>
      <c r="F72" s="31"/>
    </row>
    <row r="73" spans="2:6" ht="12" customHeight="1" x14ac:dyDescent="0.35">
      <c r="B73" s="31" t="s">
        <v>116</v>
      </c>
      <c r="C73" s="31"/>
      <c r="F73" s="31"/>
    </row>
    <row r="74" spans="2:6" ht="12" customHeight="1" x14ac:dyDescent="0.35">
      <c r="B74" s="31" t="s">
        <v>117</v>
      </c>
      <c r="C74" s="33" t="s">
        <v>122</v>
      </c>
      <c r="F74" s="31"/>
    </row>
    <row r="75" spans="2:6" ht="12" customHeight="1" x14ac:dyDescent="0.35">
      <c r="B75" s="31" t="s">
        <v>118</v>
      </c>
      <c r="C75" s="31" t="s">
        <v>143</v>
      </c>
      <c r="F75" s="31"/>
    </row>
    <row r="76" spans="2:6" ht="12" customHeight="1" x14ac:dyDescent="0.35">
      <c r="B76" s="31" t="s">
        <v>119</v>
      </c>
      <c r="C76" s="31" t="s">
        <v>144</v>
      </c>
      <c r="F76" s="31"/>
    </row>
    <row r="77" spans="2:6" ht="12" customHeight="1" x14ac:dyDescent="0.35">
      <c r="B77" s="31" t="s">
        <v>120</v>
      </c>
      <c r="C77" s="31" t="s">
        <v>181</v>
      </c>
      <c r="F77" s="31"/>
    </row>
    <row r="78" spans="2:6" ht="12" customHeight="1" x14ac:dyDescent="0.35">
      <c r="B78" s="31" t="s">
        <v>121</v>
      </c>
      <c r="C78" s="31" t="s">
        <v>180</v>
      </c>
      <c r="F78" s="31"/>
    </row>
    <row r="79" spans="2:6" ht="12" customHeight="1" x14ac:dyDescent="0.35">
      <c r="B79" s="31" t="s">
        <v>123</v>
      </c>
      <c r="C79" s="31" t="s">
        <v>124</v>
      </c>
      <c r="F79" s="31"/>
    </row>
    <row r="80" spans="2:6" ht="12" customHeight="1" x14ac:dyDescent="0.35">
      <c r="B80" s="31" t="s">
        <v>148</v>
      </c>
      <c r="F80" s="31"/>
    </row>
    <row r="81" spans="1:12" ht="12" customHeight="1" x14ac:dyDescent="0.35">
      <c r="B81" s="31" t="s">
        <v>149</v>
      </c>
      <c r="F81" s="31"/>
    </row>
    <row r="82" spans="1:12" s="86" customFormat="1" ht="39.9" customHeight="1" x14ac:dyDescent="0.35">
      <c r="A82" s="13" t="s">
        <v>82</v>
      </c>
      <c r="B82" s="214" t="s">
        <v>126</v>
      </c>
      <c r="C82" s="215"/>
      <c r="D82" s="120"/>
      <c r="E82" s="85"/>
      <c r="F82" s="85"/>
      <c r="G82" s="85"/>
      <c r="H82" s="85"/>
      <c r="I82" s="85"/>
      <c r="J82" s="85"/>
      <c r="K82" s="85"/>
      <c r="L82" s="85"/>
    </row>
    <row r="83" spans="1:12" s="18" customFormat="1" ht="20.149999999999999" customHeight="1" x14ac:dyDescent="0.35">
      <c r="A83" s="105"/>
      <c r="B83" s="93" t="s">
        <v>127</v>
      </c>
      <c r="C83" s="94" t="s">
        <v>95</v>
      </c>
      <c r="D83" s="121"/>
      <c r="E83" s="75"/>
      <c r="F83" s="75"/>
      <c r="G83" s="75"/>
      <c r="H83" s="75"/>
      <c r="I83" s="75"/>
      <c r="J83" s="75"/>
      <c r="K83" s="75"/>
      <c r="L83" s="75"/>
    </row>
    <row r="84" spans="1:12" s="18" customFormat="1" ht="20.149999999999999" customHeight="1" x14ac:dyDescent="0.35">
      <c r="A84" s="105"/>
      <c r="B84" s="108" t="s">
        <v>128</v>
      </c>
      <c r="C84" s="37" t="str">
        <f>IF(OR(NOT(ISBLANK(C85)),NOT(ISBLANK(C86))),"Alto",IF(NOT(ISBLANK(C87)),"Medio",IF(NOT(ISBLANK(C88)),"Bajo","Sin evaluar")))</f>
        <v>Alto</v>
      </c>
      <c r="D84" s="121"/>
      <c r="E84" s="75"/>
      <c r="F84" s="75"/>
      <c r="G84" s="75"/>
      <c r="H84" s="75"/>
      <c r="I84" s="75"/>
      <c r="J84" s="75"/>
      <c r="K84" s="75"/>
      <c r="L84" s="75"/>
    </row>
    <row r="85" spans="1:12" s="18" customFormat="1" ht="20.149999999999999" customHeight="1" x14ac:dyDescent="0.35">
      <c r="A85" s="105"/>
      <c r="B85" s="109" t="s">
        <v>78</v>
      </c>
      <c r="C85" s="43" t="s">
        <v>332</v>
      </c>
      <c r="D85" s="121"/>
      <c r="E85" s="75"/>
      <c r="F85" s="75"/>
      <c r="G85" s="75"/>
      <c r="H85" s="75"/>
      <c r="I85" s="75"/>
      <c r="J85" s="75"/>
      <c r="K85" s="75"/>
      <c r="L85" s="75"/>
    </row>
    <row r="86" spans="1:12" s="18" customFormat="1" ht="24.75" customHeight="1" x14ac:dyDescent="0.35">
      <c r="A86" s="105"/>
      <c r="B86" s="109" t="s">
        <v>79</v>
      </c>
      <c r="C86" s="43"/>
      <c r="D86" s="121"/>
      <c r="E86" s="75"/>
      <c r="F86" s="75"/>
      <c r="G86" s="75"/>
      <c r="H86" s="75"/>
      <c r="I86" s="75"/>
      <c r="J86" s="75"/>
      <c r="K86" s="75"/>
      <c r="L86" s="75"/>
    </row>
    <row r="87" spans="1:12" s="18" customFormat="1" ht="20.149999999999999" customHeight="1" x14ac:dyDescent="0.35">
      <c r="A87" s="105"/>
      <c r="B87" s="109" t="s">
        <v>80</v>
      </c>
      <c r="C87" s="43"/>
      <c r="D87" s="121"/>
      <c r="E87" s="75"/>
      <c r="F87" s="75"/>
      <c r="G87" s="75"/>
      <c r="H87" s="75"/>
      <c r="I87" s="75"/>
      <c r="J87" s="75"/>
      <c r="K87" s="75"/>
      <c r="L87" s="75"/>
    </row>
    <row r="88" spans="1:12" s="18" customFormat="1" ht="20.149999999999999" customHeight="1" x14ac:dyDescent="0.35">
      <c r="A88" s="105"/>
      <c r="B88" s="110" t="s">
        <v>81</v>
      </c>
      <c r="C88" s="43"/>
      <c r="D88" s="121"/>
      <c r="E88" s="75"/>
      <c r="F88" s="75"/>
      <c r="G88" s="75"/>
      <c r="H88" s="75"/>
      <c r="I88" s="75"/>
      <c r="J88" s="75"/>
      <c r="K88" s="75"/>
      <c r="L88" s="75"/>
    </row>
    <row r="89" spans="1:12" s="18" customFormat="1" ht="20.149999999999999" customHeight="1" x14ac:dyDescent="0.35">
      <c r="A89" s="105"/>
      <c r="B89" s="108" t="s">
        <v>129</v>
      </c>
      <c r="C89" s="37" t="str">
        <f>IF(NOT(ISBLANK(C90)),"Alto",IF(NOT(ISBLANK(C91)),"Medio",IF(NOT(ISBLANK(C92)),"Bajo","Sin evaluar")))</f>
        <v>Medio</v>
      </c>
      <c r="D89" s="121"/>
      <c r="E89" s="75"/>
      <c r="F89" s="75"/>
      <c r="G89" s="75"/>
      <c r="H89" s="75"/>
      <c r="I89" s="75"/>
      <c r="J89" s="75"/>
      <c r="K89" s="75"/>
      <c r="L89" s="75"/>
    </row>
    <row r="90" spans="1:12" s="18" customFormat="1" ht="20.149999999999999" customHeight="1" x14ac:dyDescent="0.35">
      <c r="A90" s="105"/>
      <c r="B90" s="109" t="s">
        <v>27</v>
      </c>
      <c r="C90" s="44"/>
      <c r="D90" s="121"/>
      <c r="E90" s="75"/>
      <c r="F90" s="75"/>
      <c r="G90" s="75"/>
      <c r="H90" s="75"/>
      <c r="I90" s="75"/>
      <c r="J90" s="75"/>
      <c r="K90" s="75"/>
      <c r="L90" s="75"/>
    </row>
    <row r="91" spans="1:12" s="18" customFormat="1" ht="20.149999999999999" customHeight="1" x14ac:dyDescent="0.35">
      <c r="A91" s="105"/>
      <c r="B91" s="109" t="s">
        <v>28</v>
      </c>
      <c r="C91" s="44" t="s">
        <v>332</v>
      </c>
      <c r="D91" s="121"/>
      <c r="E91" s="75"/>
      <c r="F91" s="75"/>
      <c r="G91" s="75"/>
      <c r="H91" s="75"/>
      <c r="I91" s="75"/>
      <c r="J91" s="75"/>
      <c r="K91" s="75"/>
      <c r="L91" s="75"/>
    </row>
    <row r="92" spans="1:12" s="18" customFormat="1" ht="20.149999999999999" customHeight="1" x14ac:dyDescent="0.35">
      <c r="A92" s="105"/>
      <c r="B92" s="110" t="s">
        <v>29</v>
      </c>
      <c r="C92" s="44"/>
      <c r="D92" s="121"/>
      <c r="E92" s="75"/>
      <c r="F92" s="75"/>
      <c r="G92" s="75"/>
      <c r="H92" s="75"/>
      <c r="I92" s="75"/>
      <c r="J92" s="75"/>
      <c r="K92" s="75"/>
      <c r="L92" s="75"/>
    </row>
    <row r="93" spans="1:12" s="18" customFormat="1" ht="20.149999999999999" customHeight="1" x14ac:dyDescent="0.35">
      <c r="A93" s="105"/>
      <c r="B93" s="108" t="s">
        <v>130</v>
      </c>
      <c r="C93" s="37" t="str">
        <f>IF(NOT(ISBLANK(C94)),"Alto",IF(NOT(ISBLANK(C95)),"Medio",IF(NOT(ISBLANK(C96)),"Bajo","Sin evaluar")))</f>
        <v>Medio</v>
      </c>
      <c r="D93" s="121"/>
      <c r="E93" s="75"/>
      <c r="F93" s="75"/>
      <c r="G93" s="75"/>
      <c r="H93" s="75"/>
      <c r="I93" s="75"/>
      <c r="J93" s="75"/>
      <c r="K93" s="75"/>
      <c r="L93" s="75"/>
    </row>
    <row r="94" spans="1:12" s="18" customFormat="1" ht="20.149999999999999" customHeight="1" x14ac:dyDescent="0.35">
      <c r="A94" s="105"/>
      <c r="B94" s="109" t="s">
        <v>30</v>
      </c>
      <c r="C94" s="44"/>
      <c r="D94" s="121"/>
      <c r="E94" s="75"/>
      <c r="F94" s="75"/>
      <c r="G94" s="75"/>
      <c r="H94" s="75"/>
      <c r="I94" s="75"/>
      <c r="J94" s="75"/>
      <c r="K94" s="75"/>
      <c r="L94" s="75"/>
    </row>
    <row r="95" spans="1:12" s="18" customFormat="1" ht="20.149999999999999" customHeight="1" x14ac:dyDescent="0.35">
      <c r="A95" s="105"/>
      <c r="B95" s="109" t="s">
        <v>31</v>
      </c>
      <c r="C95" s="44" t="s">
        <v>332</v>
      </c>
      <c r="D95" s="121"/>
      <c r="E95" s="75"/>
      <c r="F95" s="75"/>
      <c r="G95" s="75"/>
      <c r="H95" s="75"/>
      <c r="I95" s="75"/>
      <c r="J95" s="75"/>
      <c r="K95" s="75"/>
      <c r="L95" s="75"/>
    </row>
    <row r="96" spans="1:12" s="18" customFormat="1" ht="20.149999999999999" customHeight="1" x14ac:dyDescent="0.35">
      <c r="A96" s="105"/>
      <c r="B96" s="110" t="s">
        <v>32</v>
      </c>
      <c r="C96" s="44"/>
      <c r="D96" s="121"/>
      <c r="E96" s="75"/>
      <c r="F96" s="75"/>
      <c r="G96" s="75"/>
      <c r="H96" s="75"/>
      <c r="I96" s="75"/>
      <c r="J96" s="75"/>
      <c r="K96" s="75"/>
      <c r="L96" s="75"/>
    </row>
    <row r="97" spans="1:12" ht="24.9" customHeight="1" x14ac:dyDescent="0.35">
      <c r="B97" s="15" t="s">
        <v>131</v>
      </c>
      <c r="C97" s="16" t="str">
        <f>IF(OR(C84="Alto",C89="Alto",C93="Alto"),"Alto",IF(OR(C84="Medio",C89="Medio",C93="Medio"),"Medio",IF(OR(C84="Bajo",C89="Bajo",C93="Bajo"),"Bajo","Sin evaluar")))</f>
        <v>Alto</v>
      </c>
    </row>
    <row r="98" spans="1:12" x14ac:dyDescent="0.35">
      <c r="B98" s="10"/>
      <c r="C98" s="10"/>
    </row>
    <row r="99" spans="1:12" ht="46.5" customHeight="1" x14ac:dyDescent="0.35">
      <c r="B99" s="95" t="s">
        <v>182</v>
      </c>
      <c r="C99" s="45" t="s">
        <v>341</v>
      </c>
    </row>
    <row r="100" spans="1:12" x14ac:dyDescent="0.35">
      <c r="B100" s="10"/>
      <c r="C100" s="10"/>
    </row>
    <row r="101" spans="1:12" s="86" customFormat="1" ht="39.9" customHeight="1" x14ac:dyDescent="0.35">
      <c r="A101" s="13" t="s">
        <v>83</v>
      </c>
      <c r="B101" s="214" t="s">
        <v>132</v>
      </c>
      <c r="C101" s="215"/>
      <c r="D101" s="120"/>
      <c r="E101" s="85"/>
      <c r="F101" s="85"/>
      <c r="G101" s="85"/>
      <c r="H101" s="85"/>
      <c r="I101" s="85"/>
      <c r="J101" s="85"/>
      <c r="K101" s="85"/>
      <c r="L101" s="85"/>
    </row>
    <row r="102" spans="1:12" x14ac:dyDescent="0.35">
      <c r="B102" s="95" t="s">
        <v>133</v>
      </c>
      <c r="C102" s="111" t="s">
        <v>95</v>
      </c>
    </row>
    <row r="103" spans="1:12" s="41" customFormat="1" ht="25" x14ac:dyDescent="0.35">
      <c r="A103" s="39"/>
      <c r="B103" s="14" t="s">
        <v>134</v>
      </c>
      <c r="C103" s="116" t="s">
        <v>332</v>
      </c>
      <c r="D103" s="120"/>
      <c r="E103" s="40"/>
      <c r="F103" s="40"/>
      <c r="G103" s="40"/>
      <c r="H103" s="40"/>
      <c r="I103" s="40"/>
      <c r="J103" s="40"/>
      <c r="K103" s="40"/>
      <c r="L103" s="40"/>
    </row>
    <row r="104" spans="1:12" s="41" customFormat="1" ht="25" x14ac:dyDescent="0.35">
      <c r="A104" s="39"/>
      <c r="B104" s="14" t="s">
        <v>135</v>
      </c>
      <c r="C104" s="116"/>
      <c r="D104" s="120"/>
      <c r="E104" s="40"/>
      <c r="F104" s="40"/>
      <c r="G104" s="40"/>
      <c r="H104" s="40"/>
      <c r="I104" s="40"/>
      <c r="J104" s="40"/>
      <c r="K104" s="40"/>
      <c r="L104" s="40"/>
    </row>
    <row r="105" spans="1:12" s="41" customFormat="1" ht="37.5" x14ac:dyDescent="0.35">
      <c r="A105" s="39"/>
      <c r="B105" s="14" t="s">
        <v>136</v>
      </c>
      <c r="C105" s="116" t="s">
        <v>5</v>
      </c>
      <c r="D105" s="120"/>
      <c r="E105" s="40"/>
      <c r="F105" s="40"/>
      <c r="G105" s="40"/>
      <c r="H105" s="40"/>
      <c r="I105" s="40"/>
      <c r="J105" s="40"/>
      <c r="K105" s="40"/>
      <c r="L105" s="40"/>
    </row>
    <row r="106" spans="1:12" s="100" customFormat="1" ht="24.9" customHeight="1" x14ac:dyDescent="0.35">
      <c r="A106" s="96"/>
      <c r="B106" s="113" t="s">
        <v>137</v>
      </c>
      <c r="C106" s="16" t="str">
        <f>IF(NOT(ISBLANK(C103)),"No Requiere",IF(NOT(ISBLANK(C104)),"Requiere",IF(NOT(ISBLANK(C105)),"Requiere","Sin Evaluar")))</f>
        <v>No Requiere</v>
      </c>
      <c r="D106" s="121"/>
      <c r="E106" s="99"/>
      <c r="F106" s="99"/>
      <c r="G106" s="99"/>
      <c r="H106" s="99"/>
      <c r="I106" s="99"/>
      <c r="J106" s="99"/>
      <c r="K106" s="99"/>
      <c r="L106" s="99"/>
    </row>
    <row r="107" spans="1:12" s="41" customFormat="1" x14ac:dyDescent="0.35">
      <c r="A107" s="39"/>
      <c r="B107" s="39"/>
      <c r="C107" s="39"/>
      <c r="D107" s="120"/>
      <c r="E107" s="40"/>
      <c r="F107" s="40"/>
      <c r="G107" s="40"/>
      <c r="H107" s="40"/>
      <c r="I107" s="40"/>
      <c r="J107" s="40"/>
      <c r="K107" s="40"/>
      <c r="L107" s="40"/>
    </row>
    <row r="108" spans="1:12" s="41" customFormat="1" ht="39.9" customHeight="1" x14ac:dyDescent="0.35">
      <c r="A108" s="76" t="s">
        <v>92</v>
      </c>
      <c r="B108" s="216" t="s">
        <v>138</v>
      </c>
      <c r="C108" s="217"/>
      <c r="D108" s="120"/>
      <c r="E108" s="40"/>
      <c r="F108" s="40"/>
      <c r="G108" s="40"/>
      <c r="H108" s="40"/>
      <c r="I108" s="40"/>
      <c r="J108" s="40"/>
      <c r="K108" s="40"/>
      <c r="L108" s="40"/>
    </row>
    <row r="109" spans="1:12" s="103" customFormat="1" ht="24.9" customHeight="1" x14ac:dyDescent="0.35">
      <c r="A109" s="101"/>
      <c r="B109" s="220" t="s">
        <v>139</v>
      </c>
      <c r="C109" s="221"/>
      <c r="D109" s="123"/>
      <c r="E109" s="102"/>
      <c r="F109" s="102"/>
      <c r="G109" s="102"/>
      <c r="H109" s="102"/>
      <c r="I109" s="102"/>
      <c r="J109" s="102"/>
      <c r="K109" s="102"/>
      <c r="L109" s="102"/>
    </row>
    <row r="110" spans="1:12" s="100" customFormat="1" ht="24.9" customHeight="1" x14ac:dyDescent="0.35">
      <c r="A110" s="96"/>
      <c r="B110" s="97" t="s">
        <v>166</v>
      </c>
      <c r="C110" s="98" t="s">
        <v>24</v>
      </c>
      <c r="D110" s="120" t="s">
        <v>302</v>
      </c>
      <c r="E110" s="99"/>
      <c r="F110" s="99"/>
      <c r="G110" s="99"/>
      <c r="H110" s="99"/>
      <c r="I110" s="99"/>
      <c r="J110" s="99"/>
      <c r="K110" s="99"/>
      <c r="L110" s="99"/>
    </row>
    <row r="111" spans="1:12" s="100" customFormat="1" ht="24.9" customHeight="1" x14ac:dyDescent="0.35">
      <c r="A111" s="96"/>
      <c r="B111" s="97" t="s">
        <v>210</v>
      </c>
      <c r="C111" s="98" t="s">
        <v>342</v>
      </c>
      <c r="D111" s="121"/>
      <c r="E111" s="81"/>
      <c r="F111" s="99"/>
      <c r="G111" s="99"/>
      <c r="H111" s="99"/>
      <c r="I111" s="99"/>
      <c r="J111" s="99"/>
      <c r="K111" s="99"/>
      <c r="L111" s="99"/>
    </row>
    <row r="112" spans="1:12" s="100" customFormat="1" ht="24.9" customHeight="1" x14ac:dyDescent="0.35">
      <c r="A112" s="96"/>
      <c r="B112" s="97" t="s">
        <v>211</v>
      </c>
      <c r="C112" s="98" t="s">
        <v>342</v>
      </c>
      <c r="D112" s="121"/>
      <c r="E112" s="81"/>
      <c r="F112" s="99"/>
      <c r="G112" s="99"/>
      <c r="H112" s="99"/>
      <c r="I112" s="99"/>
      <c r="J112" s="99"/>
      <c r="K112" s="99"/>
      <c r="L112" s="99"/>
    </row>
    <row r="113" spans="1:12" s="100" customFormat="1" ht="24.9" customHeight="1" x14ac:dyDescent="0.35">
      <c r="A113" s="96"/>
      <c r="B113" s="97" t="s">
        <v>212</v>
      </c>
      <c r="C113" s="98" t="s">
        <v>342</v>
      </c>
      <c r="D113" s="121"/>
      <c r="E113" s="81"/>
      <c r="F113" s="99"/>
      <c r="G113" s="99"/>
      <c r="H113" s="99"/>
      <c r="I113" s="99"/>
      <c r="J113" s="99"/>
      <c r="K113" s="99"/>
      <c r="L113" s="99"/>
    </row>
    <row r="114" spans="1:12" s="100" customFormat="1" ht="24.9" customHeight="1" x14ac:dyDescent="0.35">
      <c r="A114" s="96"/>
      <c r="B114" s="218" t="s">
        <v>140</v>
      </c>
      <c r="C114" s="219"/>
      <c r="D114" s="121"/>
      <c r="E114" s="81"/>
      <c r="F114" s="99"/>
      <c r="G114" s="99"/>
      <c r="H114" s="99"/>
      <c r="I114" s="99"/>
      <c r="J114" s="99"/>
      <c r="K114" s="99"/>
      <c r="L114" s="99"/>
    </row>
    <row r="115" spans="1:12" s="100" customFormat="1" ht="24.9" customHeight="1" x14ac:dyDescent="0.35">
      <c r="A115" s="96"/>
      <c r="B115" s="97" t="s">
        <v>213</v>
      </c>
      <c r="C115" s="98" t="s">
        <v>24</v>
      </c>
      <c r="D115" s="121"/>
      <c r="E115" s="81"/>
      <c r="F115" s="99"/>
      <c r="G115" s="99"/>
      <c r="H115" s="99"/>
      <c r="I115" s="99"/>
      <c r="J115" s="99"/>
      <c r="K115" s="99"/>
      <c r="L115" s="99"/>
    </row>
    <row r="116" spans="1:12" s="100" customFormat="1" ht="24.9" customHeight="1" x14ac:dyDescent="0.35">
      <c r="A116" s="96"/>
      <c r="B116" s="97" t="s">
        <v>214</v>
      </c>
      <c r="C116" s="98" t="s">
        <v>342</v>
      </c>
      <c r="D116" s="121" t="s">
        <v>227</v>
      </c>
      <c r="E116" s="81"/>
      <c r="F116" s="99"/>
      <c r="G116" s="99"/>
      <c r="H116" s="99"/>
      <c r="I116" s="99"/>
      <c r="J116" s="99"/>
      <c r="K116" s="99"/>
      <c r="L116" s="99"/>
    </row>
    <row r="117" spans="1:12" s="100" customFormat="1" ht="24.9" customHeight="1" x14ac:dyDescent="0.35">
      <c r="A117" s="96"/>
      <c r="B117" s="97" t="s">
        <v>215</v>
      </c>
      <c r="C117" s="98" t="s">
        <v>24</v>
      </c>
      <c r="D117" s="121" t="s">
        <v>185</v>
      </c>
      <c r="E117" s="81"/>
      <c r="F117" s="99"/>
      <c r="G117" s="99"/>
      <c r="H117" s="99"/>
      <c r="I117" s="99"/>
      <c r="J117" s="99"/>
      <c r="K117" s="99"/>
      <c r="L117" s="99"/>
    </row>
    <row r="118" spans="1:12" s="100" customFormat="1" ht="24.9" customHeight="1" x14ac:dyDescent="0.35">
      <c r="A118" s="96"/>
      <c r="B118" s="218" t="s">
        <v>226</v>
      </c>
      <c r="C118" s="219"/>
      <c r="D118" s="121"/>
      <c r="E118" s="81"/>
      <c r="F118" s="99"/>
      <c r="G118" s="99"/>
      <c r="H118" s="99"/>
      <c r="I118" s="99"/>
      <c r="J118" s="99"/>
      <c r="K118" s="99"/>
      <c r="L118" s="99"/>
    </row>
    <row r="119" spans="1:12" s="100" customFormat="1" ht="24.9" customHeight="1" x14ac:dyDescent="0.35">
      <c r="A119" s="96"/>
      <c r="B119" s="97" t="s">
        <v>216</v>
      </c>
      <c r="C119" s="98" t="s">
        <v>342</v>
      </c>
      <c r="D119" s="121" t="s">
        <v>232</v>
      </c>
      <c r="E119" s="81"/>
      <c r="F119" s="99"/>
      <c r="G119" s="99"/>
      <c r="H119" s="99"/>
      <c r="I119" s="99"/>
      <c r="J119" s="99"/>
      <c r="K119" s="99"/>
      <c r="L119" s="99"/>
    </row>
    <row r="120" spans="1:12" s="100" customFormat="1" ht="24.9" customHeight="1" x14ac:dyDescent="0.35">
      <c r="A120" s="96"/>
      <c r="B120" s="97" t="s">
        <v>217</v>
      </c>
      <c r="C120" s="98" t="s">
        <v>342</v>
      </c>
      <c r="D120" s="121" t="s">
        <v>141</v>
      </c>
      <c r="E120" s="81"/>
      <c r="F120" s="99"/>
      <c r="G120" s="99"/>
      <c r="H120" s="99"/>
      <c r="I120" s="99"/>
      <c r="J120" s="99"/>
      <c r="K120" s="99"/>
      <c r="L120" s="99"/>
    </row>
    <row r="121" spans="1:12" s="99" customFormat="1" ht="24.9" customHeight="1" x14ac:dyDescent="0.35">
      <c r="A121" s="96"/>
      <c r="B121" s="97" t="s">
        <v>218</v>
      </c>
      <c r="C121" s="98" t="s">
        <v>342</v>
      </c>
      <c r="D121" s="121" t="s">
        <v>233</v>
      </c>
      <c r="E121" s="81"/>
    </row>
    <row r="122" spans="1:12" s="99" customFormat="1" ht="24.9" customHeight="1" x14ac:dyDescent="0.35">
      <c r="A122" s="96"/>
      <c r="B122" s="97" t="s">
        <v>219</v>
      </c>
      <c r="C122" s="98" t="s">
        <v>342</v>
      </c>
      <c r="D122" s="121" t="s">
        <v>234</v>
      </c>
      <c r="E122" s="81"/>
    </row>
    <row r="123" spans="1:12" s="40" customFormat="1" x14ac:dyDescent="0.35">
      <c r="A123" s="39"/>
      <c r="B123" s="39"/>
      <c r="C123" s="39"/>
      <c r="D123" s="120"/>
      <c r="E123" s="77"/>
    </row>
    <row r="124" spans="1:12" s="40" customFormat="1" ht="39.9" customHeight="1" x14ac:dyDescent="0.35">
      <c r="A124" s="76" t="s">
        <v>125</v>
      </c>
      <c r="B124" s="216" t="s">
        <v>167</v>
      </c>
      <c r="C124" s="217"/>
      <c r="D124" s="120"/>
    </row>
    <row r="125" spans="1:12" s="99" customFormat="1" ht="20.149999999999999" customHeight="1" x14ac:dyDescent="0.35">
      <c r="A125" s="96"/>
      <c r="B125" s="106" t="s">
        <v>67</v>
      </c>
      <c r="C125" s="79" t="s">
        <v>26</v>
      </c>
      <c r="D125" s="121"/>
    </row>
    <row r="126" spans="1:12" s="99" customFormat="1" ht="20.149999999999999" customHeight="1" x14ac:dyDescent="0.35">
      <c r="A126" s="96"/>
      <c r="B126" s="106" t="s">
        <v>68</v>
      </c>
      <c r="C126" s="79" t="s">
        <v>26</v>
      </c>
      <c r="D126" s="121"/>
    </row>
    <row r="127" spans="1:12" s="99" customFormat="1" ht="20.149999999999999" customHeight="1" x14ac:dyDescent="0.35">
      <c r="A127" s="96"/>
      <c r="B127" s="106" t="s">
        <v>69</v>
      </c>
      <c r="C127" s="79" t="s">
        <v>26</v>
      </c>
      <c r="D127" s="121"/>
    </row>
    <row r="128" spans="1:12" s="99" customFormat="1" ht="20.149999999999999" customHeight="1" x14ac:dyDescent="0.35">
      <c r="A128" s="96"/>
      <c r="B128" s="106" t="s">
        <v>70</v>
      </c>
      <c r="C128" s="79" t="s">
        <v>26</v>
      </c>
      <c r="D128" s="121"/>
    </row>
    <row r="129" spans="1:4" s="119" customFormat="1" ht="20.149999999999999" customHeight="1" x14ac:dyDescent="0.35">
      <c r="A129" s="118"/>
      <c r="B129" s="117" t="s">
        <v>71</v>
      </c>
      <c r="C129" s="79" t="s">
        <v>26</v>
      </c>
      <c r="D129" s="124"/>
    </row>
    <row r="130" spans="1:4" s="99" customFormat="1" ht="20.149999999999999" customHeight="1" x14ac:dyDescent="0.35">
      <c r="A130" s="96"/>
      <c r="B130" s="106" t="s">
        <v>72</v>
      </c>
      <c r="C130" s="79" t="s">
        <v>26</v>
      </c>
      <c r="D130" s="121"/>
    </row>
    <row r="131" spans="1:4" s="99" customFormat="1" ht="20.149999999999999" customHeight="1" x14ac:dyDescent="0.35">
      <c r="A131" s="96"/>
      <c r="B131" s="106" t="s">
        <v>73</v>
      </c>
      <c r="C131" s="79" t="s">
        <v>26</v>
      </c>
      <c r="D131" s="121"/>
    </row>
    <row r="132" spans="1:4" s="99" customFormat="1" ht="20.149999999999999" customHeight="1" x14ac:dyDescent="0.35">
      <c r="A132" s="96"/>
      <c r="B132" s="106" t="s">
        <v>74</v>
      </c>
      <c r="C132" s="79" t="s">
        <v>432</v>
      </c>
      <c r="D132" s="121"/>
    </row>
    <row r="133" spans="1:4" s="99" customFormat="1" ht="20.149999999999999" customHeight="1" x14ac:dyDescent="0.35">
      <c r="A133" s="96"/>
      <c r="B133" s="106" t="s">
        <v>75</v>
      </c>
      <c r="C133" s="79" t="s">
        <v>26</v>
      </c>
      <c r="D133" s="121"/>
    </row>
    <row r="134" spans="1:4" s="40" customFormat="1" ht="24.9" customHeight="1" x14ac:dyDescent="0.35">
      <c r="A134" s="39"/>
      <c r="B134" s="115"/>
      <c r="C134" s="114"/>
      <c r="D134" s="120"/>
    </row>
  </sheetData>
  <mergeCells count="14">
    <mergeCell ref="B101:C101"/>
    <mergeCell ref="B82:C82"/>
    <mergeCell ref="B47:C47"/>
    <mergeCell ref="B108:C108"/>
    <mergeCell ref="B124:C124"/>
    <mergeCell ref="B114:C114"/>
    <mergeCell ref="B118:C118"/>
    <mergeCell ref="B109:C109"/>
    <mergeCell ref="B42:C42"/>
    <mergeCell ref="B34:C34"/>
    <mergeCell ref="B1:C1"/>
    <mergeCell ref="B5:C5"/>
    <mergeCell ref="B3:C3"/>
    <mergeCell ref="B20:C20"/>
  </mergeCells>
  <conditionalFormatting sqref="A23">
    <cfRule type="expression" dxfId="8" priority="2">
      <formula>#REF!="Infraestructura"</formula>
    </cfRule>
  </conditionalFormatting>
  <dataValidations count="5">
    <dataValidation type="list" allowBlank="1" showInputMessage="1" showErrorMessage="1" sqref="C26" xr:uid="{00000000-0002-0000-0000-000000000000}">
      <formula1>"Total,Parcial"</formula1>
    </dataValidation>
    <dataValidation type="list" allowBlank="1" showInputMessage="1" showErrorMessage="1" sqref="C23" xr:uid="{00000000-0002-0000-0000-000001000000}">
      <formula1>"Batch,Online"</formula1>
    </dataValidation>
    <dataValidation type="list" allowBlank="1" showInputMessage="1" showErrorMessage="1" sqref="C9" xr:uid="{00000000-0002-0000-0000-000002000000}">
      <formula1>"Normal,Emergencia,Preaprobado"</formula1>
    </dataValidation>
    <dataValidation type="list" allowBlank="1" showInputMessage="1" showErrorMessage="1" sqref="C43:C44 C13:C15 C29:C31 C125:C133" xr:uid="{00000000-0002-0000-0000-000003000000}">
      <formula1>"Si,No"</formula1>
    </dataValidation>
    <dataValidation type="list" allowBlank="1" showInputMessage="1" showErrorMessage="1" sqref="C110:C113 C115:C117 C119:C122" xr:uid="{00000000-0002-0000-0000-000004000000}">
      <formula1>"Requiere,No Requiere,No Aplica"</formula1>
    </dataValidation>
  </dataValidations>
  <pageMargins left="0.7" right="0.7" top="0.75" bottom="0.75" header="0.3" footer="0.3"/>
  <pageSetup paperSize="9" scale="21" orientation="portrait" r:id="rId1"/>
  <colBreaks count="1" manualBreakCount="1">
    <brk id="5" max="166"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4" r:id="rId4" name="Drop Down 24">
              <controlPr defaultSize="0" autoLine="0" autoPict="0">
                <anchor moveWithCells="1">
                  <from>
                    <xdr:col>2</xdr:col>
                    <xdr:colOff>920750</xdr:colOff>
                    <xdr:row>10</xdr:row>
                    <xdr:rowOff>101600</xdr:rowOff>
                  </from>
                  <to>
                    <xdr:col>2</xdr:col>
                    <xdr:colOff>2311400</xdr:colOff>
                    <xdr:row>10</xdr:row>
                    <xdr:rowOff>419100</xdr:rowOff>
                  </to>
                </anchor>
              </controlPr>
            </control>
          </mc:Choice>
        </mc:AlternateContent>
        <mc:AlternateContent xmlns:mc="http://schemas.openxmlformats.org/markup-compatibility/2006">
          <mc:Choice Requires="x14">
            <control shapeId="10266" r:id="rId5" name="Drop Down 26">
              <controlPr defaultSize="0" autoLine="0" autoPict="0" macro="[0]!Listadesplegable26_Cambiar">
                <anchor moveWithCells="1">
                  <from>
                    <xdr:col>2</xdr:col>
                    <xdr:colOff>6350</xdr:colOff>
                    <xdr:row>30</xdr:row>
                    <xdr:rowOff>6350</xdr:rowOff>
                  </from>
                  <to>
                    <xdr:col>2</xdr:col>
                    <xdr:colOff>3321050</xdr:colOff>
                    <xdr:row>31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5000000}">
          <x14:formula1>
            <xm:f>Hoja1!$A$2:$A$5</xm:f>
          </x14:formula1>
          <xm:sqref>C21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theme="0"/>
  </sheetPr>
  <dimension ref="A2:A5"/>
  <sheetViews>
    <sheetView workbookViewId="0">
      <selection activeCell="A3" sqref="A3"/>
    </sheetView>
  </sheetViews>
  <sheetFormatPr baseColWidth="10" defaultRowHeight="14.5" x14ac:dyDescent="0.35"/>
  <sheetData>
    <row r="2" spans="1:1" x14ac:dyDescent="0.35">
      <c r="A2" t="s">
        <v>236</v>
      </c>
    </row>
    <row r="3" spans="1:1" x14ac:dyDescent="0.35">
      <c r="A3" t="s">
        <v>237</v>
      </c>
    </row>
    <row r="4" spans="1:1" x14ac:dyDescent="0.35">
      <c r="A4" t="s">
        <v>238</v>
      </c>
    </row>
    <row r="5" spans="1:1" x14ac:dyDescent="0.35">
      <c r="A5" t="s">
        <v>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0"/>
  </sheetPr>
  <dimension ref="A1:J35"/>
  <sheetViews>
    <sheetView zoomScale="60" zoomScaleNormal="60" workbookViewId="0">
      <pane ySplit="1" topLeftCell="A23" activePane="bottomLeft" state="frozen"/>
      <selection pane="bottomLeft" activeCell="E10" sqref="E10"/>
    </sheetView>
  </sheetViews>
  <sheetFormatPr baseColWidth="10" defaultColWidth="11.453125" defaultRowHeight="14" x14ac:dyDescent="0.3"/>
  <cols>
    <col min="1" max="1" width="8.6328125" style="7" customWidth="1"/>
    <col min="2" max="2" width="30.1796875" style="7" customWidth="1"/>
    <col min="3" max="3" width="29.90625" style="7" customWidth="1"/>
    <col min="4" max="5" width="15.81640625" style="7" customWidth="1"/>
    <col min="6" max="6" width="15.81640625" style="185" customWidth="1"/>
    <col min="7" max="7" width="21.1796875" style="185" customWidth="1"/>
    <col min="8" max="8" width="19.6328125" style="7" bestFit="1" customWidth="1"/>
    <col min="9" max="9" width="20.08984375" style="7" bestFit="1" customWidth="1"/>
    <col min="10" max="10" width="54.36328125" style="35" bestFit="1" customWidth="1"/>
    <col min="11" max="16384" width="11.453125" style="7"/>
  </cols>
  <sheetData>
    <row r="1" spans="1:9" ht="69.900000000000006" customHeight="1" x14ac:dyDescent="0.3">
      <c r="A1" s="222" t="s">
        <v>203</v>
      </c>
      <c r="B1" s="223"/>
      <c r="C1" s="223"/>
      <c r="D1" s="223"/>
      <c r="E1" s="223"/>
      <c r="F1" s="223"/>
      <c r="G1" s="223"/>
      <c r="H1" s="223"/>
      <c r="I1" s="223"/>
    </row>
    <row r="2" spans="1:9" ht="18" x14ac:dyDescent="0.3">
      <c r="A2" s="224" t="s">
        <v>0</v>
      </c>
      <c r="B2" s="224"/>
      <c r="C2" s="224"/>
      <c r="D2" s="224"/>
      <c r="E2" s="224"/>
      <c r="F2" s="224"/>
      <c r="G2" s="224"/>
      <c r="H2" s="224"/>
    </row>
    <row r="3" spans="1:9" x14ac:dyDescent="0.3">
      <c r="D3" s="9"/>
      <c r="E3" s="9"/>
      <c r="F3" s="182"/>
      <c r="G3" s="182" t="s">
        <v>5</v>
      </c>
      <c r="H3" s="9"/>
    </row>
    <row r="4" spans="1:9" x14ac:dyDescent="0.3">
      <c r="B4" s="50" t="s">
        <v>86</v>
      </c>
      <c r="C4" s="203" t="s">
        <v>493</v>
      </c>
      <c r="D4" s="9"/>
      <c r="E4" s="9"/>
      <c r="F4" s="182"/>
      <c r="G4" s="182"/>
      <c r="H4" s="9"/>
    </row>
    <row r="5" spans="1:9" x14ac:dyDescent="0.3">
      <c r="B5" s="51" t="s">
        <v>1</v>
      </c>
      <c r="C5" s="204" t="s">
        <v>497</v>
      </c>
      <c r="D5" s="9"/>
      <c r="E5" s="9"/>
      <c r="F5" s="182"/>
      <c r="G5" s="182"/>
      <c r="H5" s="9"/>
    </row>
    <row r="6" spans="1:9" x14ac:dyDescent="0.3">
      <c r="B6" s="50" t="s">
        <v>2</v>
      </c>
      <c r="C6" s="205">
        <v>935098997</v>
      </c>
      <c r="D6" s="9"/>
      <c r="E6" s="9"/>
      <c r="F6" s="182"/>
      <c r="G6" s="182"/>
      <c r="H6" s="9"/>
    </row>
    <row r="7" spans="1:9" x14ac:dyDescent="0.3">
      <c r="B7" s="51" t="s">
        <v>9</v>
      </c>
      <c r="C7" s="204" t="s">
        <v>498</v>
      </c>
      <c r="D7" s="9"/>
      <c r="E7" s="9"/>
      <c r="F7" s="182"/>
      <c r="G7" s="182"/>
      <c r="H7" s="9"/>
    </row>
    <row r="8" spans="1:9" x14ac:dyDescent="0.3">
      <c r="B8" s="50" t="s">
        <v>2</v>
      </c>
      <c r="C8" s="205"/>
      <c r="D8" s="9"/>
      <c r="E8" s="9"/>
      <c r="F8" s="182"/>
      <c r="G8" s="182"/>
      <c r="H8" s="9"/>
    </row>
    <row r="9" spans="1:9" x14ac:dyDescent="0.3">
      <c r="B9" s="51" t="s">
        <v>172</v>
      </c>
      <c r="C9" s="204" t="s">
        <v>494</v>
      </c>
      <c r="D9" s="9"/>
      <c r="E9" s="9"/>
      <c r="F9" s="182"/>
      <c r="G9" s="182"/>
      <c r="H9" s="9"/>
    </row>
    <row r="10" spans="1:9" ht="13.5" customHeight="1" x14ac:dyDescent="0.3">
      <c r="A10" s="6"/>
      <c r="B10" s="6"/>
      <c r="C10" s="6"/>
      <c r="D10" s="9"/>
      <c r="E10" s="9"/>
      <c r="F10" s="182"/>
      <c r="G10" s="182"/>
      <c r="H10" s="9"/>
    </row>
    <row r="11" spans="1:9" ht="18" x14ac:dyDescent="0.3">
      <c r="A11" s="224" t="s">
        <v>173</v>
      </c>
      <c r="B11" s="224"/>
      <c r="C11" s="224"/>
      <c r="D11" s="224"/>
      <c r="E11" s="224"/>
      <c r="F11" s="224"/>
      <c r="G11" s="224"/>
      <c r="H11" s="224"/>
    </row>
    <row r="12" spans="1:9" ht="18" x14ac:dyDescent="0.3">
      <c r="A12" s="5"/>
      <c r="B12" s="5"/>
      <c r="C12" s="5"/>
      <c r="D12" s="5"/>
      <c r="E12" s="173"/>
      <c r="F12" s="183"/>
      <c r="G12" s="183"/>
      <c r="H12" s="22"/>
    </row>
    <row r="13" spans="1:9" ht="18" x14ac:dyDescent="0.3">
      <c r="A13" s="5"/>
      <c r="B13" s="8" t="s">
        <v>3</v>
      </c>
      <c r="C13" s="8" t="s">
        <v>231</v>
      </c>
      <c r="D13" s="8" t="s">
        <v>399</v>
      </c>
      <c r="E13" s="8" t="s">
        <v>439</v>
      </c>
      <c r="F13" s="8" t="s">
        <v>410</v>
      </c>
      <c r="G13" s="8" t="s">
        <v>398</v>
      </c>
      <c r="H13" s="22"/>
    </row>
    <row r="14" spans="1:9" ht="18" x14ac:dyDescent="0.3">
      <c r="A14" s="5"/>
      <c r="B14" s="184"/>
      <c r="C14" s="53"/>
      <c r="D14" s="53"/>
      <c r="E14" s="206"/>
      <c r="F14" s="186"/>
      <c r="G14" s="184"/>
      <c r="H14" s="22"/>
    </row>
    <row r="15" spans="1:9" ht="18" x14ac:dyDescent="0.3">
      <c r="A15" s="126"/>
      <c r="B15" s="184"/>
      <c r="C15" s="53"/>
      <c r="D15" s="53"/>
      <c r="E15" s="206"/>
      <c r="F15" s="186"/>
      <c r="G15" s="184"/>
      <c r="H15" s="126"/>
    </row>
    <row r="16" spans="1:9" ht="18" x14ac:dyDescent="0.3">
      <c r="A16" s="126"/>
      <c r="B16" s="184"/>
      <c r="C16" s="53"/>
      <c r="D16" s="53"/>
      <c r="E16" s="206"/>
      <c r="F16" s="186"/>
      <c r="G16" s="184"/>
      <c r="H16" s="126"/>
    </row>
    <row r="17" spans="1:10" ht="18" x14ac:dyDescent="0.3">
      <c r="A17" s="172"/>
      <c r="B17" s="184"/>
      <c r="C17" s="53"/>
      <c r="D17" s="53"/>
      <c r="E17" s="206"/>
      <c r="F17" s="186"/>
      <c r="G17" s="184"/>
      <c r="H17" s="172"/>
    </row>
    <row r="18" spans="1:10" ht="18" x14ac:dyDescent="0.3">
      <c r="A18" s="172"/>
      <c r="B18" s="52"/>
      <c r="C18" s="53"/>
      <c r="D18" s="53"/>
      <c r="E18" s="53"/>
      <c r="F18" s="184"/>
      <c r="G18" s="184"/>
      <c r="H18" s="172"/>
    </row>
    <row r="19" spans="1:10" ht="18" x14ac:dyDescent="0.3">
      <c r="A19" s="172"/>
      <c r="B19" s="52"/>
      <c r="C19" s="53"/>
      <c r="D19" s="53"/>
      <c r="E19" s="53"/>
      <c r="F19" s="184"/>
      <c r="G19" s="184"/>
      <c r="H19" s="172"/>
    </row>
    <row r="20" spans="1:10" ht="18" x14ac:dyDescent="0.3">
      <c r="A20" s="172"/>
      <c r="B20" s="52"/>
      <c r="C20" s="53"/>
      <c r="D20" s="53"/>
      <c r="E20" s="53"/>
      <c r="F20" s="186"/>
      <c r="G20" s="184"/>
      <c r="H20" s="172"/>
    </row>
    <row r="21" spans="1:10" ht="18" x14ac:dyDescent="0.3">
      <c r="A21" s="172"/>
      <c r="B21" s="52"/>
      <c r="C21" s="53"/>
      <c r="D21" s="53"/>
      <c r="E21" s="53"/>
      <c r="F21" s="184"/>
      <c r="G21" s="184"/>
      <c r="H21" s="172"/>
    </row>
    <row r="22" spans="1:10" ht="18" x14ac:dyDescent="0.3">
      <c r="A22" s="172"/>
      <c r="B22" s="52"/>
      <c r="C22" s="53"/>
      <c r="D22" s="53"/>
      <c r="E22" s="53"/>
      <c r="F22" s="184"/>
      <c r="G22" s="184"/>
      <c r="H22" s="172"/>
    </row>
    <row r="23" spans="1:10" ht="18" x14ac:dyDescent="0.3">
      <c r="A23" s="172"/>
      <c r="B23" s="52"/>
      <c r="C23" s="53"/>
      <c r="D23" s="53"/>
      <c r="E23" s="53"/>
      <c r="F23" s="186"/>
      <c r="G23" s="184"/>
      <c r="H23" s="172"/>
    </row>
    <row r="24" spans="1:10" ht="18" x14ac:dyDescent="0.3">
      <c r="A24" s="172"/>
      <c r="B24" s="52"/>
      <c r="C24" s="53"/>
      <c r="D24" s="53"/>
      <c r="E24" s="53"/>
      <c r="F24" s="184"/>
      <c r="G24" s="184"/>
      <c r="H24" s="172"/>
    </row>
    <row r="25" spans="1:10" ht="18" x14ac:dyDescent="0.3">
      <c r="A25" s="126"/>
      <c r="B25" s="52"/>
      <c r="C25" s="53"/>
      <c r="D25" s="53"/>
      <c r="E25" s="53"/>
      <c r="F25" s="184"/>
      <c r="G25" s="184"/>
      <c r="H25" s="126"/>
    </row>
    <row r="26" spans="1:10" ht="18" x14ac:dyDescent="0.3">
      <c r="A26" s="172"/>
      <c r="B26" s="52"/>
      <c r="C26" s="53"/>
      <c r="D26" s="53"/>
      <c r="E26" s="53"/>
      <c r="F26" s="186"/>
      <c r="G26" s="184"/>
      <c r="H26" s="172"/>
    </row>
    <row r="27" spans="1:10" ht="18" x14ac:dyDescent="0.3">
      <c r="A27" s="126"/>
      <c r="B27" s="52"/>
      <c r="C27" s="53"/>
      <c r="D27" s="53"/>
      <c r="E27" s="53"/>
      <c r="F27" s="184"/>
      <c r="G27" s="184"/>
      <c r="H27" s="126"/>
    </row>
    <row r="28" spans="1:10" ht="18" x14ac:dyDescent="0.3">
      <c r="A28" s="173"/>
      <c r="B28" s="52"/>
      <c r="C28" s="53"/>
      <c r="D28" s="53"/>
      <c r="E28" s="53"/>
      <c r="F28" s="184"/>
      <c r="G28" s="184"/>
      <c r="H28" s="173"/>
    </row>
    <row r="29" spans="1:10" ht="18" x14ac:dyDescent="0.3">
      <c r="A29" s="173"/>
      <c r="B29" s="52"/>
      <c r="C29" s="53"/>
      <c r="D29" s="53"/>
      <c r="E29" s="53"/>
      <c r="F29" s="184"/>
      <c r="G29" s="184"/>
      <c r="H29" s="173"/>
    </row>
    <row r="30" spans="1:10" ht="18" x14ac:dyDescent="0.3">
      <c r="A30" s="173"/>
      <c r="B30" s="52"/>
      <c r="C30" s="53"/>
      <c r="D30" s="53"/>
      <c r="E30" s="53"/>
      <c r="F30" s="184"/>
      <c r="G30" s="184"/>
      <c r="H30" s="173"/>
    </row>
    <row r="31" spans="1:10" ht="13.5" customHeight="1" x14ac:dyDescent="0.3">
      <c r="A31" s="5"/>
      <c r="B31" s="25"/>
      <c r="C31" s="25"/>
      <c r="D31" s="25"/>
      <c r="E31" s="173"/>
      <c r="F31" s="183"/>
      <c r="G31" s="183"/>
      <c r="H31" s="22"/>
    </row>
    <row r="32" spans="1:10" customFormat="1" ht="23.25" customHeight="1" x14ac:dyDescent="0.35">
      <c r="A32" s="224" t="s">
        <v>10</v>
      </c>
      <c r="B32" s="224"/>
      <c r="C32" s="224"/>
      <c r="D32" s="224"/>
      <c r="E32" s="224"/>
      <c r="F32" s="224"/>
      <c r="G32" s="224"/>
      <c r="H32" s="224"/>
      <c r="J32" s="34"/>
    </row>
    <row r="33" spans="1:10" customFormat="1" ht="13.5" customHeight="1" x14ac:dyDescent="0.35">
      <c r="A33" s="6"/>
      <c r="B33" s="1" t="s">
        <v>6</v>
      </c>
      <c r="C33" s="228" t="s">
        <v>7</v>
      </c>
      <c r="D33" s="228"/>
      <c r="E33" s="228"/>
      <c r="F33" s="228"/>
      <c r="G33" s="228"/>
      <c r="H33" s="228"/>
      <c r="J33" s="34"/>
    </row>
    <row r="34" spans="1:10" s="4" customFormat="1" ht="48.75" customHeight="1" x14ac:dyDescent="0.25">
      <c r="A34" s="3"/>
      <c r="B34" s="2"/>
      <c r="C34" s="225"/>
      <c r="D34" s="226"/>
      <c r="E34" s="226"/>
      <c r="F34" s="226"/>
      <c r="G34" s="226"/>
      <c r="H34" s="227"/>
      <c r="J34" s="36"/>
    </row>
    <row r="35" spans="1:10" s="4" customFormat="1" ht="48.75" customHeight="1" x14ac:dyDescent="0.25">
      <c r="A35" s="3"/>
      <c r="B35" s="125"/>
      <c r="C35" s="225"/>
      <c r="D35" s="226"/>
      <c r="E35" s="226"/>
      <c r="F35" s="226"/>
      <c r="G35" s="226"/>
      <c r="H35" s="227"/>
      <c r="J35" s="36"/>
    </row>
  </sheetData>
  <mergeCells count="7">
    <mergeCell ref="A1:I1"/>
    <mergeCell ref="A11:H11"/>
    <mergeCell ref="C35:H35"/>
    <mergeCell ref="C34:H34"/>
    <mergeCell ref="A32:H32"/>
    <mergeCell ref="C33:H33"/>
    <mergeCell ref="A2:H2"/>
  </mergeCells>
  <pageMargins left="0.7" right="0.7" top="0.75" bottom="0.75" header="0.3" footer="0.3"/>
  <pageSetup paperSize="9" scale="50"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tabColor theme="0"/>
  </sheetPr>
  <dimension ref="A1:K31"/>
  <sheetViews>
    <sheetView zoomScale="70" zoomScaleNormal="70" workbookViewId="0">
      <pane ySplit="1" topLeftCell="A9" activePane="bottomLeft" state="frozen"/>
      <selection pane="bottomLeft" activeCell="G23" sqref="G23"/>
    </sheetView>
  </sheetViews>
  <sheetFormatPr baseColWidth="10" defaultColWidth="9.08984375" defaultRowHeight="14.5" x14ac:dyDescent="0.35"/>
  <cols>
    <col min="1" max="1" width="22.6328125" customWidth="1"/>
    <col min="2" max="2" width="12.08984375" customWidth="1"/>
    <col min="3" max="5" width="9.08984375" customWidth="1"/>
    <col min="6" max="6" width="27.54296875" customWidth="1"/>
    <col min="7" max="7" width="26" customWidth="1"/>
    <col min="8" max="8" width="21.90625" bestFit="1" customWidth="1"/>
  </cols>
  <sheetData>
    <row r="1" spans="1:11" ht="69.900000000000006" customHeight="1" x14ac:dyDescent="0.35">
      <c r="A1" s="222" t="s">
        <v>174</v>
      </c>
      <c r="B1" s="223"/>
      <c r="C1" s="223"/>
      <c r="D1" s="223"/>
      <c r="E1" s="223"/>
      <c r="F1" s="223"/>
      <c r="G1" s="223"/>
      <c r="H1" s="223"/>
    </row>
    <row r="2" spans="1:11" ht="77.25" customHeight="1" x14ac:dyDescent="0.35">
      <c r="A2" s="232" t="s">
        <v>23</v>
      </c>
      <c r="B2" s="233"/>
      <c r="C2" s="233"/>
      <c r="D2" s="233"/>
      <c r="E2" s="233"/>
      <c r="F2" s="233"/>
      <c r="G2" s="233"/>
      <c r="H2" s="233"/>
    </row>
    <row r="3" spans="1:11" ht="26.15" customHeight="1" x14ac:dyDescent="0.35">
      <c r="A3" s="54" t="s">
        <v>87</v>
      </c>
      <c r="B3" s="234" t="s">
        <v>489</v>
      </c>
      <c r="C3" s="234"/>
      <c r="D3" s="234"/>
      <c r="E3" s="234"/>
      <c r="F3" s="234"/>
      <c r="G3" s="234"/>
      <c r="H3" s="234"/>
      <c r="K3" s="34"/>
    </row>
    <row r="4" spans="1:11" ht="26.15" customHeight="1" x14ac:dyDescent="0.35">
      <c r="A4" s="54" t="s">
        <v>13</v>
      </c>
      <c r="B4" s="235" t="s">
        <v>494</v>
      </c>
      <c r="C4" s="235"/>
      <c r="D4" s="235"/>
      <c r="E4" s="235"/>
      <c r="F4" s="235"/>
      <c r="G4" s="235"/>
      <c r="H4" s="235"/>
    </row>
    <row r="5" spans="1:11" ht="26.15" customHeight="1" x14ac:dyDescent="0.35">
      <c r="A5" s="55" t="s">
        <v>58</v>
      </c>
      <c r="B5" s="235">
        <v>935098997</v>
      </c>
      <c r="C5" s="235"/>
      <c r="D5" s="235"/>
      <c r="E5" s="235"/>
      <c r="F5" s="235"/>
      <c r="G5" s="235"/>
      <c r="H5" s="235"/>
    </row>
    <row r="6" spans="1:11" ht="26.15" customHeight="1" x14ac:dyDescent="0.35">
      <c r="A6" s="54" t="s">
        <v>15</v>
      </c>
      <c r="B6" s="235" t="s">
        <v>498</v>
      </c>
      <c r="C6" s="235"/>
      <c r="D6" s="235"/>
      <c r="E6" s="235"/>
      <c r="F6" s="235"/>
      <c r="G6" s="235"/>
      <c r="H6" s="235"/>
    </row>
    <row r="7" spans="1:11" ht="26.15" customHeight="1" x14ac:dyDescent="0.35">
      <c r="A7" s="55" t="s">
        <v>14</v>
      </c>
      <c r="B7" s="235"/>
      <c r="C7" s="235"/>
      <c r="D7" s="235"/>
      <c r="E7" s="235"/>
      <c r="F7" s="235"/>
      <c r="G7" s="235"/>
      <c r="H7" s="235"/>
    </row>
    <row r="8" spans="1:11" ht="24" customHeight="1" x14ac:dyDescent="0.35"/>
    <row r="9" spans="1:11" x14ac:dyDescent="0.35">
      <c r="A9" s="239" t="s">
        <v>16</v>
      </c>
      <c r="B9" s="239"/>
      <c r="C9" s="239"/>
      <c r="D9" s="239"/>
      <c r="E9" s="239"/>
      <c r="F9" s="239"/>
      <c r="G9" s="239"/>
      <c r="H9" s="239"/>
    </row>
    <row r="10" spans="1:11" x14ac:dyDescent="0.35">
      <c r="A10" s="1" t="s">
        <v>17</v>
      </c>
      <c r="B10" s="236" t="s">
        <v>18</v>
      </c>
      <c r="C10" s="237"/>
      <c r="D10" s="237"/>
      <c r="E10" s="237"/>
      <c r="F10" s="238"/>
      <c r="G10" s="23" t="s">
        <v>84</v>
      </c>
      <c r="H10" s="21" t="s">
        <v>85</v>
      </c>
    </row>
    <row r="11" spans="1:11" ht="24.9" customHeight="1" x14ac:dyDescent="0.35">
      <c r="A11" s="56">
        <v>1</v>
      </c>
      <c r="B11" s="229" t="s">
        <v>491</v>
      </c>
      <c r="C11" s="230"/>
      <c r="D11" s="230"/>
      <c r="E11" s="230"/>
      <c r="F11" s="231"/>
      <c r="G11" s="57" t="s">
        <v>494</v>
      </c>
      <c r="H11" s="58">
        <v>30</v>
      </c>
    </row>
    <row r="12" spans="1:11" ht="24.9" customHeight="1" x14ac:dyDescent="0.35">
      <c r="A12" s="56"/>
      <c r="B12" s="229"/>
      <c r="C12" s="230"/>
      <c r="D12" s="230"/>
      <c r="E12" s="230"/>
      <c r="F12" s="231"/>
      <c r="G12" s="57"/>
      <c r="H12" s="58"/>
    </row>
    <row r="13" spans="1:11" ht="15" customHeight="1" x14ac:dyDescent="0.35">
      <c r="A13" s="56"/>
      <c r="B13" s="229"/>
      <c r="C13" s="230"/>
      <c r="D13" s="230"/>
      <c r="E13" s="230"/>
      <c r="F13" s="231"/>
      <c r="G13" s="61"/>
      <c r="H13" s="62"/>
    </row>
    <row r="14" spans="1:11" x14ac:dyDescent="0.35">
      <c r="A14" s="56"/>
      <c r="B14" s="59"/>
      <c r="C14" s="60"/>
      <c r="D14" s="60"/>
      <c r="E14" s="60"/>
      <c r="F14" s="61"/>
      <c r="G14" s="61"/>
      <c r="H14" s="63"/>
    </row>
    <row r="15" spans="1:11" x14ac:dyDescent="0.35">
      <c r="A15" s="56"/>
      <c r="B15" s="59"/>
      <c r="C15" s="60"/>
      <c r="D15" s="60"/>
      <c r="E15" s="60"/>
      <c r="F15" s="61"/>
      <c r="G15" s="61"/>
      <c r="H15" s="63"/>
    </row>
    <row r="16" spans="1:11" x14ac:dyDescent="0.35">
      <c r="A16" s="56"/>
      <c r="B16" s="59"/>
      <c r="C16" s="60"/>
      <c r="D16" s="60"/>
      <c r="E16" s="60"/>
      <c r="F16" s="61"/>
      <c r="G16" s="61"/>
      <c r="H16" s="63"/>
    </row>
    <row r="17" spans="1:8" x14ac:dyDescent="0.35">
      <c r="A17" s="56"/>
      <c r="B17" s="59"/>
      <c r="C17" s="60"/>
      <c r="D17" s="60"/>
      <c r="E17" s="60"/>
      <c r="F17" s="61"/>
      <c r="G17" s="61"/>
      <c r="H17" s="63"/>
    </row>
    <row r="18" spans="1:8" x14ac:dyDescent="0.35">
      <c r="A18" s="56"/>
      <c r="B18" s="59"/>
      <c r="C18" s="60"/>
      <c r="D18" s="60"/>
      <c r="E18" s="60"/>
      <c r="F18" s="61"/>
      <c r="G18" s="61"/>
      <c r="H18" s="63"/>
    </row>
    <row r="19" spans="1:8" x14ac:dyDescent="0.35">
      <c r="A19" s="56"/>
      <c r="B19" s="59"/>
      <c r="C19" s="60"/>
      <c r="D19" s="60"/>
      <c r="E19" s="60"/>
      <c r="F19" s="61"/>
      <c r="G19" s="61"/>
      <c r="H19" s="63"/>
    </row>
    <row r="21" spans="1:8" x14ac:dyDescent="0.35">
      <c r="A21" s="240" t="s">
        <v>19</v>
      </c>
      <c r="B21" s="241"/>
      <c r="C21" s="241"/>
      <c r="D21" s="241"/>
      <c r="E21" s="241"/>
      <c r="F21" s="241"/>
      <c r="G21" s="241"/>
      <c r="H21" s="241"/>
    </row>
    <row r="22" spans="1:8" x14ac:dyDescent="0.35">
      <c r="A22" s="1" t="s">
        <v>17</v>
      </c>
      <c r="B22" s="236" t="s">
        <v>18</v>
      </c>
      <c r="C22" s="237"/>
      <c r="D22" s="237"/>
      <c r="E22" s="237"/>
      <c r="F22" s="238"/>
      <c r="G22" s="24" t="s">
        <v>84</v>
      </c>
      <c r="H22" s="26" t="s">
        <v>85</v>
      </c>
    </row>
    <row r="23" spans="1:8" x14ac:dyDescent="0.35">
      <c r="A23" s="56">
        <v>1</v>
      </c>
      <c r="B23" s="229" t="s">
        <v>492</v>
      </c>
      <c r="C23" s="230"/>
      <c r="D23" s="230"/>
      <c r="E23" s="230"/>
      <c r="F23" s="231"/>
      <c r="G23" s="61" t="s">
        <v>499</v>
      </c>
      <c r="H23" s="58">
        <v>30</v>
      </c>
    </row>
    <row r="24" spans="1:8" x14ac:dyDescent="0.35">
      <c r="A24" s="56"/>
      <c r="B24" s="229"/>
      <c r="C24" s="230"/>
      <c r="D24" s="230"/>
      <c r="E24" s="230"/>
      <c r="F24" s="231"/>
      <c r="G24" s="57"/>
      <c r="H24" s="63"/>
    </row>
    <row r="25" spans="1:8" x14ac:dyDescent="0.35">
      <c r="A25" s="56"/>
      <c r="B25" s="59"/>
      <c r="C25" s="60"/>
      <c r="D25" s="60"/>
      <c r="E25" s="60"/>
      <c r="F25" s="61"/>
      <c r="G25" s="61"/>
      <c r="H25" s="63"/>
    </row>
    <row r="26" spans="1:8" x14ac:dyDescent="0.35">
      <c r="A26" s="56"/>
      <c r="B26" s="59"/>
      <c r="C26" s="60"/>
      <c r="D26" s="60"/>
      <c r="E26" s="60"/>
      <c r="F26" s="61"/>
      <c r="G26" s="61"/>
      <c r="H26" s="63"/>
    </row>
    <row r="27" spans="1:8" x14ac:dyDescent="0.35">
      <c r="A27" s="56"/>
      <c r="B27" s="59"/>
      <c r="C27" s="60"/>
      <c r="D27" s="60"/>
      <c r="E27" s="60"/>
      <c r="F27" s="61"/>
      <c r="G27" s="61"/>
      <c r="H27" s="63"/>
    </row>
    <row r="28" spans="1:8" x14ac:dyDescent="0.35">
      <c r="A28" s="56"/>
      <c r="B28" s="59"/>
      <c r="C28" s="60"/>
      <c r="D28" s="60"/>
      <c r="E28" s="60"/>
      <c r="F28" s="61"/>
      <c r="G28" s="61"/>
      <c r="H28" s="63"/>
    </row>
    <row r="29" spans="1:8" x14ac:dyDescent="0.35">
      <c r="A29" s="56"/>
      <c r="B29" s="59"/>
      <c r="C29" s="60"/>
      <c r="D29" s="60"/>
      <c r="E29" s="60"/>
      <c r="F29" s="61"/>
      <c r="G29" s="61"/>
      <c r="H29" s="63"/>
    </row>
    <row r="30" spans="1:8" x14ac:dyDescent="0.35">
      <c r="A30" s="56"/>
      <c r="B30" s="59"/>
      <c r="C30" s="60"/>
      <c r="D30" s="60"/>
      <c r="E30" s="60"/>
      <c r="F30" s="61"/>
      <c r="G30" s="61"/>
      <c r="H30" s="63"/>
    </row>
    <row r="31" spans="1:8" x14ac:dyDescent="0.35">
      <c r="A31" s="56"/>
      <c r="B31" s="59"/>
      <c r="C31" s="60"/>
      <c r="D31" s="60"/>
      <c r="E31" s="60"/>
      <c r="F31" s="61"/>
      <c r="G31" s="61"/>
      <c r="H31" s="63"/>
    </row>
  </sheetData>
  <mergeCells count="16">
    <mergeCell ref="B13:F13"/>
    <mergeCell ref="B24:F24"/>
    <mergeCell ref="A1:H1"/>
    <mergeCell ref="A2:H2"/>
    <mergeCell ref="B23:F23"/>
    <mergeCell ref="B3:H3"/>
    <mergeCell ref="B5:H5"/>
    <mergeCell ref="B6:H6"/>
    <mergeCell ref="B7:H7"/>
    <mergeCell ref="B10:F10"/>
    <mergeCell ref="B22:F22"/>
    <mergeCell ref="B11:F11"/>
    <mergeCell ref="B4:H4"/>
    <mergeCell ref="B12:F12"/>
    <mergeCell ref="A9:H9"/>
    <mergeCell ref="A21:H21"/>
  </mergeCells>
  <pageMargins left="0.7" right="0.7" top="0.75" bottom="0.75" header="0.3" footer="0.3"/>
  <pageSetup paperSize="9" scale="63"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tabColor theme="0"/>
  </sheetPr>
  <dimension ref="A1:I26"/>
  <sheetViews>
    <sheetView zoomScale="60" zoomScaleNormal="60" workbookViewId="0">
      <selection activeCell="J1" sqref="J1"/>
    </sheetView>
  </sheetViews>
  <sheetFormatPr baseColWidth="10" defaultRowHeight="14.5" x14ac:dyDescent="0.35"/>
  <cols>
    <col min="1" max="6" width="20.6328125" customWidth="1"/>
    <col min="7" max="9" width="10.6328125" customWidth="1"/>
    <col min="10" max="10" width="20.6328125" customWidth="1"/>
  </cols>
  <sheetData>
    <row r="1" spans="1:9" ht="15" thickBot="1" x14ac:dyDescent="0.4">
      <c r="A1" s="242"/>
      <c r="B1" s="242"/>
      <c r="C1" s="242"/>
      <c r="D1" s="242"/>
      <c r="E1" s="242"/>
      <c r="F1" s="242"/>
      <c r="G1" s="242"/>
      <c r="H1" s="242"/>
      <c r="I1" s="242"/>
    </row>
    <row r="2" spans="1:9" ht="23" x14ac:dyDescent="0.35">
      <c r="A2" s="243" t="s">
        <v>199</v>
      </c>
      <c r="B2" s="243"/>
      <c r="C2" s="243"/>
      <c r="D2" s="243"/>
      <c r="E2" s="243"/>
      <c r="F2" s="243"/>
      <c r="G2" s="243"/>
      <c r="H2" s="243"/>
      <c r="I2" s="243"/>
    </row>
    <row r="3" spans="1:9" x14ac:dyDescent="0.35">
      <c r="A3" s="177"/>
      <c r="B3" s="177"/>
      <c r="C3" s="177"/>
      <c r="D3" s="174"/>
      <c r="E3" s="174"/>
      <c r="F3" s="174"/>
      <c r="G3" s="174"/>
      <c r="H3" s="174"/>
      <c r="I3" s="174"/>
    </row>
    <row r="4" spans="1:9" x14ac:dyDescent="0.35">
      <c r="A4" s="176"/>
      <c r="B4" s="176"/>
      <c r="C4" s="176"/>
      <c r="D4" s="176"/>
      <c r="E4" s="176"/>
      <c r="F4" s="176"/>
      <c r="G4" s="176"/>
      <c r="H4" s="176"/>
      <c r="I4" s="176"/>
    </row>
    <row r="5" spans="1:9" ht="16.5" x14ac:dyDescent="0.35">
      <c r="A5" s="244" t="s">
        <v>386</v>
      </c>
      <c r="B5" s="244"/>
      <c r="C5" s="244"/>
      <c r="D5" s="244"/>
      <c r="E5" s="244"/>
      <c r="F5" s="244"/>
      <c r="G5" s="244"/>
      <c r="H5" s="244"/>
      <c r="I5" s="244"/>
    </row>
    <row r="6" spans="1:9" ht="26.4" customHeight="1" x14ac:dyDescent="0.35">
      <c r="A6" s="245" t="s">
        <v>347</v>
      </c>
      <c r="B6" s="245"/>
      <c r="C6" s="245"/>
      <c r="D6" s="245" t="s">
        <v>348</v>
      </c>
      <c r="E6" s="245"/>
      <c r="F6" s="245"/>
      <c r="G6" s="177"/>
      <c r="H6" s="177"/>
      <c r="I6" s="177"/>
    </row>
    <row r="7" spans="1:9" ht="25.25" customHeight="1" x14ac:dyDescent="0.35">
      <c r="A7" s="245" t="s">
        <v>358</v>
      </c>
      <c r="B7" s="245"/>
      <c r="C7" s="245"/>
      <c r="D7" s="245"/>
      <c r="E7" s="245"/>
      <c r="F7" s="245"/>
      <c r="G7" s="245"/>
      <c r="H7" s="245"/>
      <c r="I7" s="177"/>
    </row>
    <row r="8" spans="1:9" ht="25.25" customHeight="1" x14ac:dyDescent="0.35">
      <c r="A8" s="192"/>
      <c r="B8" s="191" t="s">
        <v>6</v>
      </c>
      <c r="C8" s="228" t="s">
        <v>7</v>
      </c>
      <c r="D8" s="228"/>
      <c r="E8" s="228"/>
      <c r="F8" s="228"/>
      <c r="G8" s="228"/>
      <c r="H8" s="228"/>
      <c r="I8" s="192"/>
    </row>
    <row r="9" spans="1:9" ht="25.25" customHeight="1" x14ac:dyDescent="0.35">
      <c r="A9" s="192"/>
      <c r="B9" s="193"/>
      <c r="C9" s="225"/>
      <c r="D9" s="226"/>
      <c r="E9" s="226"/>
      <c r="F9" s="226"/>
      <c r="G9" s="226"/>
      <c r="H9" s="227"/>
      <c r="I9" s="192"/>
    </row>
    <row r="10" spans="1:9" ht="25.25" customHeight="1" x14ac:dyDescent="0.35">
      <c r="A10" s="192"/>
      <c r="B10" s="193"/>
      <c r="C10" s="188"/>
      <c r="D10" s="189"/>
      <c r="E10" s="189"/>
      <c r="F10" s="189"/>
      <c r="G10" s="189"/>
      <c r="H10" s="190"/>
      <c r="I10" s="192"/>
    </row>
    <row r="11" spans="1:9" ht="25.25" customHeight="1" x14ac:dyDescent="0.35">
      <c r="A11" s="192"/>
      <c r="B11" s="193"/>
      <c r="C11" s="225"/>
      <c r="D11" s="226"/>
      <c r="E11" s="226"/>
      <c r="F11" s="226"/>
      <c r="G11" s="226"/>
      <c r="H11" s="227"/>
      <c r="I11" s="192"/>
    </row>
    <row r="12" spans="1:9" x14ac:dyDescent="0.35">
      <c r="A12" s="177"/>
      <c r="B12" s="177"/>
      <c r="C12" s="177"/>
      <c r="D12" s="174"/>
      <c r="E12" s="174"/>
      <c r="F12" s="174"/>
      <c r="G12" s="174"/>
      <c r="H12" s="174"/>
      <c r="I12" s="174"/>
    </row>
    <row r="13" spans="1:9" ht="16.5" x14ac:dyDescent="0.35">
      <c r="A13" s="244" t="s">
        <v>440</v>
      </c>
      <c r="B13" s="244"/>
      <c r="C13" s="244"/>
      <c r="D13" s="244"/>
      <c r="E13" s="244"/>
      <c r="F13" s="244"/>
      <c r="G13" s="244"/>
      <c r="H13" s="244"/>
      <c r="I13" s="244"/>
    </row>
    <row r="14" spans="1:9" x14ac:dyDescent="0.35">
      <c r="A14" s="247" t="s">
        <v>350</v>
      </c>
      <c r="B14" s="247"/>
      <c r="C14" s="247"/>
      <c r="D14" s="247"/>
      <c r="E14" s="247"/>
      <c r="F14" s="247"/>
      <c r="G14" s="247"/>
      <c r="H14" s="247"/>
      <c r="I14" s="247"/>
    </row>
    <row r="15" spans="1:9" x14ac:dyDescent="0.35">
      <c r="A15" s="247" t="s">
        <v>352</v>
      </c>
      <c r="B15" s="247"/>
      <c r="C15" s="247"/>
      <c r="D15" s="247"/>
      <c r="E15" s="247"/>
      <c r="F15" s="247"/>
      <c r="G15" s="247"/>
      <c r="H15" s="247"/>
      <c r="I15" s="247"/>
    </row>
    <row r="16" spans="1:9" x14ac:dyDescent="0.35">
      <c r="A16" s="247" t="s">
        <v>351</v>
      </c>
      <c r="B16" s="247"/>
      <c r="C16" s="247"/>
      <c r="D16" s="247"/>
      <c r="E16" s="247"/>
      <c r="F16" s="247"/>
      <c r="G16" s="247"/>
      <c r="H16" s="247"/>
      <c r="I16" s="247"/>
    </row>
    <row r="17" spans="1:9" x14ac:dyDescent="0.35">
      <c r="A17" s="247" t="s">
        <v>353</v>
      </c>
      <c r="B17" s="247"/>
      <c r="C17" s="247"/>
      <c r="D17" s="247"/>
      <c r="E17" s="247"/>
      <c r="F17" s="247"/>
      <c r="G17" s="247"/>
      <c r="H17" s="247"/>
      <c r="I17" s="247"/>
    </row>
    <row r="18" spans="1:9" x14ac:dyDescent="0.35">
      <c r="A18" s="247"/>
      <c r="B18" s="247"/>
      <c r="C18" s="247"/>
      <c r="D18" s="247"/>
      <c r="E18" s="247"/>
      <c r="F18" s="247"/>
      <c r="G18" s="247"/>
      <c r="H18" s="247"/>
      <c r="I18" s="247"/>
    </row>
    <row r="19" spans="1:9" x14ac:dyDescent="0.35">
      <c r="A19" s="177"/>
      <c r="B19" s="177"/>
      <c r="C19" s="177"/>
      <c r="D19" s="174"/>
      <c r="E19" s="174"/>
      <c r="F19" s="174"/>
      <c r="G19" s="174"/>
      <c r="H19" s="174"/>
      <c r="I19" s="174"/>
    </row>
    <row r="20" spans="1:9" ht="18" x14ac:dyDescent="0.35">
      <c r="A20" s="246" t="s">
        <v>198</v>
      </c>
      <c r="B20" s="246"/>
      <c r="C20" s="246"/>
      <c r="D20" s="246"/>
      <c r="E20" s="246"/>
      <c r="F20" s="246"/>
      <c r="G20" s="246"/>
      <c r="H20" s="246"/>
      <c r="I20" s="246"/>
    </row>
    <row r="21" spans="1:9" ht="23" x14ac:dyDescent="0.35">
      <c r="A21" s="178"/>
      <c r="B21" s="175" t="s">
        <v>6</v>
      </c>
      <c r="C21" s="27" t="s">
        <v>8</v>
      </c>
      <c r="D21" s="27" t="s">
        <v>20</v>
      </c>
      <c r="E21" s="27" t="s">
        <v>21</v>
      </c>
      <c r="F21" s="27" t="s">
        <v>22</v>
      </c>
      <c r="G21" s="4"/>
      <c r="H21" s="4"/>
      <c r="I21" s="4"/>
    </row>
    <row r="22" spans="1:9" ht="23" x14ac:dyDescent="0.35">
      <c r="A22" s="178"/>
      <c r="B22" s="179">
        <v>1</v>
      </c>
      <c r="C22" s="82"/>
      <c r="D22" s="82"/>
      <c r="E22" s="82"/>
      <c r="F22" s="82"/>
      <c r="G22" s="4"/>
      <c r="H22" s="4"/>
      <c r="I22" s="4"/>
    </row>
    <row r="23" spans="1:9" x14ac:dyDescent="0.35">
      <c r="A23" s="3"/>
      <c r="B23" s="179">
        <v>2</v>
      </c>
      <c r="C23" s="82"/>
      <c r="D23" s="82"/>
      <c r="E23" s="82"/>
      <c r="F23" s="82"/>
      <c r="G23" s="4"/>
      <c r="H23" s="4"/>
      <c r="I23" s="4"/>
    </row>
    <row r="24" spans="1:9" x14ac:dyDescent="0.35">
      <c r="A24" s="3"/>
      <c r="B24" s="179">
        <v>3</v>
      </c>
      <c r="C24" s="82"/>
      <c r="D24" s="82"/>
      <c r="E24" s="82"/>
      <c r="F24" s="82"/>
      <c r="G24" s="4"/>
      <c r="H24" s="4"/>
      <c r="I24" s="4"/>
    </row>
    <row r="25" spans="1:9" x14ac:dyDescent="0.35">
      <c r="A25" s="3"/>
      <c r="B25" s="179">
        <v>4</v>
      </c>
      <c r="C25" s="82"/>
      <c r="D25" s="82"/>
      <c r="E25" s="83"/>
      <c r="F25" s="83"/>
      <c r="G25" s="4"/>
      <c r="H25" s="4"/>
      <c r="I25" s="4"/>
    </row>
    <row r="26" spans="1:9" x14ac:dyDescent="0.35">
      <c r="A26" s="3"/>
      <c r="B26" s="3"/>
      <c r="C26" s="4"/>
      <c r="D26" s="4"/>
      <c r="E26" s="4"/>
      <c r="F26" s="4"/>
      <c r="G26" s="4"/>
      <c r="H26" s="4"/>
      <c r="I26" s="4"/>
    </row>
  </sheetData>
  <mergeCells count="16">
    <mergeCell ref="A1:I1"/>
    <mergeCell ref="A2:I2"/>
    <mergeCell ref="A5:I5"/>
    <mergeCell ref="A6:C6"/>
    <mergeCell ref="A20:I20"/>
    <mergeCell ref="A13:I13"/>
    <mergeCell ref="A14:I14"/>
    <mergeCell ref="A15:I15"/>
    <mergeCell ref="A16:I16"/>
    <mergeCell ref="A17:I17"/>
    <mergeCell ref="A18:I18"/>
    <mergeCell ref="C8:H8"/>
    <mergeCell ref="C9:H9"/>
    <mergeCell ref="C11:H11"/>
    <mergeCell ref="A7:H7"/>
    <mergeCell ref="D6:F6"/>
  </mergeCells>
  <pageMargins left="0.7" right="0.7" top="0.75" bottom="0.75" header="0.3" footer="0.3"/>
  <pageSetup scale="57"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theme="0"/>
  </sheetPr>
  <dimension ref="A1:J23"/>
  <sheetViews>
    <sheetView zoomScale="70" zoomScaleNormal="70" workbookViewId="0">
      <pane ySplit="1" topLeftCell="A2" activePane="bottomLeft" state="frozen"/>
      <selection pane="bottomLeft" activeCell="A3" sqref="A3:H15"/>
    </sheetView>
  </sheetViews>
  <sheetFormatPr baseColWidth="10" defaultColWidth="0" defaultRowHeight="12.75" customHeight="1" zeroHeight="1" x14ac:dyDescent="0.35"/>
  <cols>
    <col min="1" max="1" width="4.453125" style="20" customWidth="1"/>
    <col min="2" max="2" width="23.54296875" style="20" bestFit="1" customWidth="1"/>
    <col min="3" max="3" width="23.453125" style="20" customWidth="1"/>
    <col min="4" max="6" width="13.90625" style="20" customWidth="1"/>
    <col min="7" max="7" width="17.54296875" style="20" customWidth="1"/>
    <col min="8" max="8" width="11.54296875" style="20" customWidth="1"/>
    <col min="9" max="9" width="13.36328125" style="20" customWidth="1"/>
    <col min="10" max="10" width="22.08984375" style="20" customWidth="1"/>
    <col min="11" max="16384" width="0" style="20" hidden="1"/>
  </cols>
  <sheetData>
    <row r="1" spans="1:10" ht="69.900000000000006" customHeight="1" x14ac:dyDescent="0.35">
      <c r="A1" s="248" t="s">
        <v>175</v>
      </c>
      <c r="B1" s="248"/>
      <c r="C1" s="248"/>
      <c r="D1" s="248"/>
      <c r="E1" s="248"/>
      <c r="F1" s="248"/>
      <c r="G1" s="248"/>
      <c r="H1" s="248"/>
      <c r="I1" s="248"/>
      <c r="J1" s="248"/>
    </row>
    <row r="2" spans="1:10" s="67" customFormat="1" ht="65" x14ac:dyDescent="0.35">
      <c r="A2" s="66" t="s">
        <v>6</v>
      </c>
      <c r="B2" s="66" t="s">
        <v>60</v>
      </c>
      <c r="C2" s="66" t="s">
        <v>53</v>
      </c>
      <c r="D2" s="66" t="s">
        <v>59</v>
      </c>
      <c r="E2" s="66" t="s">
        <v>61</v>
      </c>
      <c r="F2" s="66" t="s">
        <v>235</v>
      </c>
      <c r="G2" s="66" t="s">
        <v>62</v>
      </c>
      <c r="H2" s="66" t="s">
        <v>63</v>
      </c>
      <c r="I2" s="66" t="s">
        <v>64</v>
      </c>
      <c r="J2" s="66" t="s">
        <v>65</v>
      </c>
    </row>
    <row r="3" spans="1:10" ht="13" x14ac:dyDescent="0.35">
      <c r="A3" s="64"/>
      <c r="B3" s="64"/>
      <c r="C3" s="65"/>
      <c r="D3" s="65"/>
      <c r="E3" s="65"/>
      <c r="F3" s="64"/>
      <c r="G3" s="64"/>
      <c r="H3" s="64"/>
      <c r="I3" s="64"/>
      <c r="J3" s="64"/>
    </row>
    <row r="4" spans="1:10" ht="13" x14ac:dyDescent="0.35">
      <c r="A4" s="64"/>
      <c r="B4" s="64"/>
      <c r="C4" s="65"/>
      <c r="D4" s="65"/>
      <c r="E4" s="65"/>
      <c r="F4" s="64"/>
      <c r="G4" s="64"/>
      <c r="H4" s="64"/>
      <c r="I4" s="64"/>
      <c r="J4" s="64"/>
    </row>
    <row r="5" spans="1:10" ht="13" x14ac:dyDescent="0.35">
      <c r="A5" s="64"/>
      <c r="B5" s="64"/>
      <c r="C5" s="65"/>
      <c r="D5" s="65"/>
      <c r="E5" s="65"/>
      <c r="F5" s="64"/>
      <c r="G5" s="64"/>
      <c r="H5" s="64"/>
      <c r="I5" s="64"/>
      <c r="J5" s="64"/>
    </row>
    <row r="6" spans="1:10" ht="13" x14ac:dyDescent="0.35">
      <c r="A6" s="64"/>
      <c r="B6" s="64"/>
      <c r="C6" s="65"/>
      <c r="D6" s="65"/>
      <c r="E6" s="65"/>
      <c r="F6" s="64"/>
      <c r="G6" s="64"/>
      <c r="H6" s="64"/>
      <c r="I6" s="64"/>
      <c r="J6" s="64"/>
    </row>
    <row r="7" spans="1:10" ht="13" x14ac:dyDescent="0.35">
      <c r="A7" s="64"/>
      <c r="B7" s="64"/>
      <c r="C7" s="65"/>
      <c r="D7" s="65"/>
      <c r="E7" s="65"/>
      <c r="F7" s="64"/>
      <c r="G7" s="64"/>
      <c r="H7" s="64"/>
      <c r="I7" s="64"/>
      <c r="J7" s="64"/>
    </row>
    <row r="8" spans="1:10" ht="13" x14ac:dyDescent="0.35">
      <c r="A8" s="64"/>
      <c r="B8" s="64"/>
      <c r="C8" s="65"/>
      <c r="D8" s="65"/>
      <c r="E8" s="65"/>
      <c r="F8" s="64"/>
      <c r="G8" s="64"/>
      <c r="H8" s="64"/>
      <c r="I8" s="64"/>
      <c r="J8" s="64"/>
    </row>
    <row r="9" spans="1:10" ht="65.25" customHeight="1" x14ac:dyDescent="0.35">
      <c r="A9" s="64"/>
      <c r="B9" s="64"/>
      <c r="C9" s="65"/>
      <c r="D9" s="65"/>
      <c r="E9" s="65"/>
      <c r="F9" s="64"/>
      <c r="G9" s="64"/>
      <c r="H9" s="64"/>
      <c r="I9" s="64"/>
      <c r="J9" s="64"/>
    </row>
    <row r="10" spans="1:10" ht="13" x14ac:dyDescent="0.35">
      <c r="A10" s="64"/>
      <c r="B10" s="64"/>
      <c r="C10" s="65"/>
      <c r="D10" s="65"/>
      <c r="E10" s="65"/>
      <c r="F10" s="64"/>
      <c r="G10" s="64"/>
      <c r="H10" s="64"/>
      <c r="I10" s="64"/>
      <c r="J10" s="64"/>
    </row>
    <row r="11" spans="1:10" ht="13" x14ac:dyDescent="0.35">
      <c r="A11" s="64"/>
      <c r="B11" s="64"/>
      <c r="C11" s="65"/>
      <c r="D11" s="65"/>
      <c r="E11" s="65"/>
      <c r="F11" s="64"/>
      <c r="G11" s="64"/>
      <c r="H11" s="64"/>
      <c r="I11" s="64"/>
      <c r="J11" s="64"/>
    </row>
    <row r="12" spans="1:10" ht="13" x14ac:dyDescent="0.35">
      <c r="A12" s="64"/>
      <c r="B12" s="64"/>
      <c r="C12" s="65"/>
      <c r="D12" s="65"/>
      <c r="E12" s="65"/>
      <c r="F12" s="64"/>
      <c r="G12" s="64"/>
      <c r="H12" s="64"/>
      <c r="I12" s="64"/>
      <c r="J12" s="64"/>
    </row>
    <row r="13" spans="1:10" ht="13" x14ac:dyDescent="0.35">
      <c r="A13" s="64"/>
      <c r="B13" s="64"/>
      <c r="C13" s="65"/>
      <c r="D13" s="65"/>
      <c r="E13" s="65"/>
      <c r="F13" s="64"/>
      <c r="G13" s="64"/>
      <c r="H13" s="64"/>
      <c r="I13" s="64"/>
      <c r="J13" s="64"/>
    </row>
    <row r="14" spans="1:10" ht="13" x14ac:dyDescent="0.35">
      <c r="A14" s="64"/>
      <c r="B14" s="64"/>
      <c r="C14" s="65"/>
      <c r="D14" s="64"/>
      <c r="E14" s="64"/>
      <c r="F14" s="64"/>
      <c r="G14" s="64"/>
      <c r="H14" s="64"/>
      <c r="I14" s="64"/>
      <c r="J14" s="64"/>
    </row>
    <row r="15" spans="1:10" ht="13" x14ac:dyDescent="0.35">
      <c r="A15" s="64"/>
      <c r="B15" s="64"/>
      <c r="C15" s="64"/>
      <c r="D15" s="64"/>
      <c r="E15" s="64"/>
      <c r="F15" s="64"/>
      <c r="G15" s="64"/>
      <c r="H15" s="64"/>
      <c r="I15" s="64"/>
      <c r="J15" s="64"/>
    </row>
    <row r="16" spans="1:10" ht="13" x14ac:dyDescent="0.35">
      <c r="A16" s="64"/>
      <c r="B16" s="64"/>
      <c r="C16" s="64"/>
      <c r="D16" s="64"/>
      <c r="E16" s="64"/>
      <c r="F16" s="64"/>
      <c r="G16" s="64"/>
      <c r="H16" s="64"/>
      <c r="I16" s="64"/>
      <c r="J16" s="64"/>
    </row>
    <row r="17" s="19" customFormat="1" ht="13" x14ac:dyDescent="0.35"/>
    <row r="18" ht="12.75" customHeight="1" x14ac:dyDescent="0.35"/>
    <row r="19" ht="12.75" customHeight="1" x14ac:dyDescent="0.35"/>
    <row r="20" ht="12.75" customHeight="1" x14ac:dyDescent="0.35"/>
    <row r="21" ht="12.75" customHeight="1" x14ac:dyDescent="0.35"/>
    <row r="22" ht="12.75" customHeight="1" x14ac:dyDescent="0.35"/>
    <row r="23" ht="12.75" customHeight="1" x14ac:dyDescent="0.35"/>
  </sheetData>
  <mergeCells count="1">
    <mergeCell ref="A1:J1"/>
  </mergeCells>
  <pageMargins left="0.7" right="0.7" top="0.75" bottom="0.75" header="0.3" footer="0.3"/>
  <pageSetup paperSize="9" scale="55"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theme="0"/>
  </sheetPr>
  <dimension ref="A1:G46"/>
  <sheetViews>
    <sheetView zoomScale="60" zoomScaleNormal="60" workbookViewId="0">
      <selection sqref="A1:F1"/>
    </sheetView>
  </sheetViews>
  <sheetFormatPr baseColWidth="10" defaultRowHeight="14.5" x14ac:dyDescent="0.35"/>
  <cols>
    <col min="2" max="2" width="71.90625" customWidth="1"/>
    <col min="3" max="3" width="16.08984375" style="187" bestFit="1" customWidth="1"/>
    <col min="4" max="4" width="14.90625" style="187" bestFit="1" customWidth="1"/>
    <col min="5" max="5" width="16.54296875" style="187" bestFit="1" customWidth="1"/>
    <col min="6" max="6" width="14.453125" style="187" bestFit="1" customWidth="1"/>
    <col min="7" max="7" width="30.6328125" style="187" customWidth="1"/>
    <col min="8" max="8" width="11.54296875" customWidth="1"/>
  </cols>
  <sheetData>
    <row r="1" spans="1:7" s="130" customFormat="1" ht="30" customHeight="1" x14ac:dyDescent="0.35">
      <c r="A1" s="250" t="s">
        <v>301</v>
      </c>
      <c r="B1" s="251"/>
      <c r="C1" s="251"/>
      <c r="D1" s="251"/>
      <c r="E1" s="251"/>
      <c r="F1" s="252"/>
      <c r="G1" s="131" t="s">
        <v>355</v>
      </c>
    </row>
    <row r="2" spans="1:7" s="129" customFormat="1" ht="35.15" customHeight="1" x14ac:dyDescent="0.35">
      <c r="A2" s="249" t="s">
        <v>296</v>
      </c>
      <c r="B2" s="249"/>
      <c r="C2" s="131" t="s">
        <v>297</v>
      </c>
      <c r="D2" s="131" t="s">
        <v>298</v>
      </c>
      <c r="E2" s="131" t="s">
        <v>299</v>
      </c>
      <c r="F2" s="131" t="s">
        <v>300</v>
      </c>
      <c r="G2" s="131" t="s">
        <v>354</v>
      </c>
    </row>
    <row r="3" spans="1:7" s="18" customFormat="1" ht="20.149999999999999" customHeight="1" x14ac:dyDescent="0.35">
      <c r="A3" s="132" t="s">
        <v>239</v>
      </c>
      <c r="B3" s="132" t="s">
        <v>275</v>
      </c>
      <c r="C3" s="199"/>
      <c r="D3" s="199"/>
      <c r="E3" s="199" t="s">
        <v>332</v>
      </c>
      <c r="F3" s="199"/>
      <c r="G3" s="199"/>
    </row>
    <row r="4" spans="1:7" s="18" customFormat="1" ht="20.149999999999999" customHeight="1" x14ac:dyDescent="0.35">
      <c r="A4" s="132" t="s">
        <v>240</v>
      </c>
      <c r="B4" s="132" t="s">
        <v>419</v>
      </c>
      <c r="C4" s="199"/>
      <c r="D4" s="199"/>
      <c r="E4" s="199"/>
      <c r="F4" s="199"/>
      <c r="G4" s="199"/>
    </row>
    <row r="5" spans="1:7" s="18" customFormat="1" ht="20.149999999999999" customHeight="1" x14ac:dyDescent="0.35">
      <c r="A5" s="132" t="s">
        <v>241</v>
      </c>
      <c r="B5" s="132" t="s">
        <v>428</v>
      </c>
      <c r="C5" s="199"/>
      <c r="D5" s="199"/>
      <c r="E5" s="199" t="s">
        <v>332</v>
      </c>
      <c r="F5" s="199"/>
      <c r="G5" s="199"/>
    </row>
    <row r="6" spans="1:7" s="18" customFormat="1" ht="20.149999999999999" customHeight="1" x14ac:dyDescent="0.35">
      <c r="A6" s="132" t="s">
        <v>242</v>
      </c>
      <c r="B6" s="132" t="s">
        <v>430</v>
      </c>
      <c r="C6" s="199"/>
      <c r="D6" s="199"/>
      <c r="E6" s="199" t="s">
        <v>332</v>
      </c>
      <c r="F6" s="199"/>
      <c r="G6" s="199"/>
    </row>
    <row r="7" spans="1:7" s="18" customFormat="1" ht="20.149999999999999" customHeight="1" x14ac:dyDescent="0.35">
      <c r="A7" s="132" t="s">
        <v>434</v>
      </c>
      <c r="B7" s="132" t="s">
        <v>436</v>
      </c>
      <c r="C7" s="199" t="s">
        <v>332</v>
      </c>
      <c r="D7" s="199"/>
      <c r="E7" s="199"/>
      <c r="F7" s="199"/>
      <c r="G7" s="199"/>
    </row>
    <row r="8" spans="1:7" s="18" customFormat="1" ht="20.149999999999999" customHeight="1" x14ac:dyDescent="0.35">
      <c r="A8" s="132" t="s">
        <v>243</v>
      </c>
      <c r="B8" s="132" t="s">
        <v>435</v>
      </c>
      <c r="C8" s="199"/>
      <c r="D8" s="199"/>
      <c r="E8" s="199"/>
      <c r="F8" s="199"/>
      <c r="G8" s="199"/>
    </row>
    <row r="9" spans="1:7" s="18" customFormat="1" ht="20.149999999999999" customHeight="1" x14ac:dyDescent="0.35">
      <c r="A9" s="132" t="s">
        <v>244</v>
      </c>
      <c r="B9" s="132" t="s">
        <v>420</v>
      </c>
      <c r="C9" s="199"/>
      <c r="D9" s="199"/>
      <c r="E9" s="199" t="s">
        <v>332</v>
      </c>
      <c r="F9" s="199"/>
      <c r="G9" s="199"/>
    </row>
    <row r="10" spans="1:7" s="18" customFormat="1" ht="20.149999999999999" customHeight="1" x14ac:dyDescent="0.35">
      <c r="A10" s="132" t="s">
        <v>245</v>
      </c>
      <c r="B10" s="132" t="s">
        <v>421</v>
      </c>
      <c r="C10" s="199"/>
      <c r="D10" s="199"/>
      <c r="E10" s="199"/>
      <c r="F10" s="199" t="s">
        <v>332</v>
      </c>
      <c r="G10" s="199"/>
    </row>
    <row r="11" spans="1:7" s="18" customFormat="1" ht="20.149999999999999" customHeight="1" x14ac:dyDescent="0.35">
      <c r="A11" s="132" t="s">
        <v>246</v>
      </c>
      <c r="B11" s="132" t="s">
        <v>422</v>
      </c>
      <c r="C11" s="199"/>
      <c r="D11" s="199"/>
      <c r="E11" s="199"/>
      <c r="F11" s="199" t="s">
        <v>332</v>
      </c>
      <c r="G11" s="199"/>
    </row>
    <row r="12" spans="1:7" s="18" customFormat="1" ht="20.149999999999999" customHeight="1" x14ac:dyDescent="0.35">
      <c r="A12" s="132" t="s">
        <v>247</v>
      </c>
      <c r="B12" s="132" t="s">
        <v>429</v>
      </c>
      <c r="C12" s="199"/>
      <c r="D12" s="199"/>
      <c r="E12" s="199"/>
      <c r="F12" s="199" t="s">
        <v>332</v>
      </c>
      <c r="G12" s="199"/>
    </row>
    <row r="13" spans="1:7" s="18" customFormat="1" ht="20.149999999999999" customHeight="1" x14ac:dyDescent="0.35">
      <c r="A13" s="132" t="s">
        <v>248</v>
      </c>
      <c r="B13" s="132" t="s">
        <v>276</v>
      </c>
      <c r="C13" s="199"/>
      <c r="D13" s="199"/>
      <c r="E13" s="199"/>
      <c r="F13" s="199"/>
      <c r="G13" s="199"/>
    </row>
    <row r="14" spans="1:7" s="18" customFormat="1" ht="20.149999999999999" customHeight="1" x14ac:dyDescent="0.35">
      <c r="A14" s="132" t="s">
        <v>249</v>
      </c>
      <c r="B14" s="132" t="s">
        <v>277</v>
      </c>
      <c r="C14" s="199"/>
      <c r="D14" s="199"/>
      <c r="E14" s="199"/>
      <c r="F14" s="199"/>
      <c r="G14" s="199"/>
    </row>
    <row r="15" spans="1:7" s="18" customFormat="1" ht="20.149999999999999" customHeight="1" x14ac:dyDescent="0.35">
      <c r="A15" s="132" t="s">
        <v>250</v>
      </c>
      <c r="B15" s="132" t="s">
        <v>278</v>
      </c>
      <c r="C15" s="199"/>
      <c r="D15" s="199"/>
      <c r="E15" s="199"/>
      <c r="F15" s="199"/>
      <c r="G15" s="199"/>
    </row>
    <row r="16" spans="1:7" s="18" customFormat="1" ht="20.149999999999999" customHeight="1" x14ac:dyDescent="0.35">
      <c r="A16" s="132" t="s">
        <v>251</v>
      </c>
      <c r="B16" s="132" t="s">
        <v>423</v>
      </c>
      <c r="C16" s="199"/>
      <c r="D16" s="199"/>
      <c r="E16" s="199"/>
      <c r="F16" s="199"/>
      <c r="G16" s="199"/>
    </row>
    <row r="17" spans="1:7" s="18" customFormat="1" ht="20.149999999999999" customHeight="1" x14ac:dyDescent="0.35">
      <c r="A17" s="132" t="s">
        <v>252</v>
      </c>
      <c r="B17" s="132" t="s">
        <v>424</v>
      </c>
      <c r="C17" s="199"/>
      <c r="D17" s="199"/>
      <c r="E17" s="199"/>
      <c r="F17" s="199"/>
      <c r="G17" s="199"/>
    </row>
    <row r="18" spans="1:7" s="18" customFormat="1" ht="20.149999999999999" customHeight="1" x14ac:dyDescent="0.35">
      <c r="A18" s="132" t="s">
        <v>253</v>
      </c>
      <c r="B18" s="132" t="s">
        <v>274</v>
      </c>
      <c r="C18" s="199"/>
      <c r="D18" s="199"/>
      <c r="E18" s="199"/>
      <c r="F18" s="199"/>
      <c r="G18" s="199"/>
    </row>
    <row r="19" spans="1:7" s="18" customFormat="1" ht="20.149999999999999" customHeight="1" x14ac:dyDescent="0.35">
      <c r="A19" s="132" t="s">
        <v>254</v>
      </c>
      <c r="B19" s="132" t="s">
        <v>425</v>
      </c>
      <c r="C19" s="199"/>
      <c r="D19" s="199"/>
      <c r="E19" s="199"/>
      <c r="F19" s="199"/>
      <c r="G19" s="199"/>
    </row>
    <row r="20" spans="1:7" s="18" customFormat="1" ht="20.149999999999999" customHeight="1" x14ac:dyDescent="0.35">
      <c r="A20" s="132" t="s">
        <v>255</v>
      </c>
      <c r="B20" s="132" t="s">
        <v>363</v>
      </c>
      <c r="C20" s="199"/>
      <c r="D20" s="199"/>
      <c r="E20" s="199"/>
      <c r="F20" s="199"/>
      <c r="G20" s="199"/>
    </row>
    <row r="21" spans="1:7" s="18" customFormat="1" ht="20.149999999999999" customHeight="1" x14ac:dyDescent="0.35">
      <c r="A21" s="132" t="s">
        <v>256</v>
      </c>
      <c r="B21" s="132" t="s">
        <v>295</v>
      </c>
      <c r="C21" s="199"/>
      <c r="D21" s="199"/>
      <c r="E21" s="199"/>
      <c r="F21" s="199"/>
      <c r="G21" s="199"/>
    </row>
    <row r="22" spans="1:7" s="18" customFormat="1" ht="20.149999999999999" customHeight="1" x14ac:dyDescent="0.35">
      <c r="A22" s="132" t="s">
        <v>257</v>
      </c>
      <c r="B22" s="132" t="s">
        <v>279</v>
      </c>
      <c r="C22" s="199"/>
      <c r="D22" s="199"/>
      <c r="E22" s="199"/>
      <c r="F22" s="199"/>
      <c r="G22" s="199"/>
    </row>
    <row r="23" spans="1:7" s="18" customFormat="1" ht="20.149999999999999" customHeight="1" x14ac:dyDescent="0.35">
      <c r="A23" s="132" t="s">
        <v>258</v>
      </c>
      <c r="B23" s="132" t="s">
        <v>280</v>
      </c>
      <c r="C23" s="199"/>
      <c r="D23" s="199"/>
      <c r="E23" s="199"/>
      <c r="F23" s="199"/>
      <c r="G23" s="199"/>
    </row>
    <row r="24" spans="1:7" s="18" customFormat="1" ht="20.149999999999999" customHeight="1" x14ac:dyDescent="0.35">
      <c r="A24" s="132" t="s">
        <v>259</v>
      </c>
      <c r="B24" s="132" t="s">
        <v>281</v>
      </c>
      <c r="C24" s="199"/>
      <c r="D24" s="199"/>
      <c r="E24" s="199"/>
      <c r="F24" s="199"/>
      <c r="G24" s="199"/>
    </row>
    <row r="25" spans="1:7" s="18" customFormat="1" ht="20.149999999999999" customHeight="1" x14ac:dyDescent="0.35">
      <c r="A25" s="132" t="s">
        <v>260</v>
      </c>
      <c r="B25" s="132" t="s">
        <v>282</v>
      </c>
      <c r="C25" s="199"/>
      <c r="D25" s="199"/>
      <c r="E25" s="199"/>
      <c r="F25" s="199"/>
      <c r="G25" s="199"/>
    </row>
    <row r="26" spans="1:7" s="18" customFormat="1" ht="20.149999999999999" customHeight="1" x14ac:dyDescent="0.35">
      <c r="A26" s="132" t="s">
        <v>359</v>
      </c>
      <c r="B26" s="132" t="s">
        <v>360</v>
      </c>
      <c r="C26" s="199"/>
      <c r="D26" s="199"/>
      <c r="E26" s="199"/>
      <c r="F26" s="199"/>
      <c r="G26" s="199"/>
    </row>
    <row r="27" spans="1:7" s="18" customFormat="1" ht="20.149999999999999" customHeight="1" x14ac:dyDescent="0.35">
      <c r="A27" s="132" t="s">
        <v>261</v>
      </c>
      <c r="B27" s="132" t="s">
        <v>283</v>
      </c>
      <c r="C27" s="199"/>
      <c r="D27" s="199"/>
      <c r="E27" s="199"/>
      <c r="F27" s="199"/>
      <c r="G27" s="199"/>
    </row>
    <row r="28" spans="1:7" s="18" customFormat="1" ht="20.149999999999999" customHeight="1" x14ac:dyDescent="0.35">
      <c r="A28" s="132" t="s">
        <v>262</v>
      </c>
      <c r="B28" s="132" t="s">
        <v>284</v>
      </c>
      <c r="C28" s="199"/>
      <c r="D28" s="199"/>
      <c r="E28" s="199"/>
      <c r="F28" s="199"/>
      <c r="G28" s="199"/>
    </row>
    <row r="29" spans="1:7" s="18" customFormat="1" ht="20.149999999999999" customHeight="1" x14ac:dyDescent="0.35">
      <c r="A29" s="132" t="s">
        <v>263</v>
      </c>
      <c r="B29" s="132" t="s">
        <v>285</v>
      </c>
      <c r="C29" s="199"/>
      <c r="D29" s="199"/>
      <c r="E29" s="199"/>
      <c r="F29" s="199"/>
      <c r="G29" s="199"/>
    </row>
    <row r="30" spans="1:7" s="18" customFormat="1" ht="20.149999999999999" customHeight="1" x14ac:dyDescent="0.35">
      <c r="A30" s="132" t="s">
        <v>264</v>
      </c>
      <c r="B30" s="132" t="s">
        <v>286</v>
      </c>
      <c r="C30" s="199"/>
      <c r="D30" s="199"/>
      <c r="E30" s="199"/>
      <c r="F30" s="199"/>
      <c r="G30" s="199"/>
    </row>
    <row r="31" spans="1:7" s="18" customFormat="1" ht="20.149999999999999" customHeight="1" x14ac:dyDescent="0.35">
      <c r="A31" s="132" t="s">
        <v>265</v>
      </c>
      <c r="B31" s="132" t="s">
        <v>287</v>
      </c>
      <c r="C31" s="199"/>
      <c r="D31" s="199"/>
      <c r="E31" s="199"/>
      <c r="F31" s="199"/>
      <c r="G31" s="199"/>
    </row>
    <row r="32" spans="1:7" s="18" customFormat="1" ht="20.149999999999999" customHeight="1" x14ac:dyDescent="0.35">
      <c r="A32" s="132" t="s">
        <v>266</v>
      </c>
      <c r="B32" s="132" t="s">
        <v>288</v>
      </c>
      <c r="C32" s="199"/>
      <c r="D32" s="199"/>
      <c r="E32" s="199"/>
      <c r="F32" s="199"/>
      <c r="G32" s="199"/>
    </row>
    <row r="33" spans="1:7" s="18" customFormat="1" ht="20.149999999999999" customHeight="1" x14ac:dyDescent="0.35">
      <c r="A33" s="132" t="s">
        <v>267</v>
      </c>
      <c r="B33" s="132" t="s">
        <v>289</v>
      </c>
      <c r="C33" s="199"/>
      <c r="D33" s="199"/>
      <c r="E33" s="199"/>
      <c r="F33" s="199"/>
      <c r="G33" s="199"/>
    </row>
    <row r="34" spans="1:7" s="18" customFormat="1" ht="20.149999999999999" customHeight="1" x14ac:dyDescent="0.35">
      <c r="A34" s="132" t="s">
        <v>268</v>
      </c>
      <c r="B34" s="132" t="s">
        <v>291</v>
      </c>
      <c r="C34" s="199"/>
      <c r="D34" s="199"/>
      <c r="E34" s="199"/>
      <c r="F34" s="199"/>
      <c r="G34" s="199"/>
    </row>
    <row r="35" spans="1:7" s="18" customFormat="1" ht="20.149999999999999" customHeight="1" x14ac:dyDescent="0.35">
      <c r="A35" s="132" t="s">
        <v>269</v>
      </c>
      <c r="B35" s="132" t="s">
        <v>290</v>
      </c>
      <c r="C35" s="199"/>
      <c r="D35" s="199"/>
      <c r="E35" s="199"/>
      <c r="F35" s="199"/>
      <c r="G35" s="199"/>
    </row>
    <row r="36" spans="1:7" s="18" customFormat="1" ht="20.149999999999999" customHeight="1" x14ac:dyDescent="0.35">
      <c r="A36" s="132" t="s">
        <v>270</v>
      </c>
      <c r="B36" s="132" t="s">
        <v>292</v>
      </c>
      <c r="C36" s="199"/>
      <c r="D36" s="199"/>
      <c r="E36" s="199"/>
      <c r="F36" s="199"/>
      <c r="G36" s="199"/>
    </row>
    <row r="37" spans="1:7" s="18" customFormat="1" ht="20.149999999999999" customHeight="1" x14ac:dyDescent="0.35">
      <c r="A37" s="132" t="s">
        <v>271</v>
      </c>
      <c r="B37" s="132" t="s">
        <v>293</v>
      </c>
      <c r="C37" s="199"/>
      <c r="D37" s="199"/>
      <c r="E37" s="199"/>
      <c r="F37" s="199"/>
      <c r="G37" s="199"/>
    </row>
    <row r="38" spans="1:7" s="18" customFormat="1" ht="30" customHeight="1" x14ac:dyDescent="0.35">
      <c r="A38" s="132" t="s">
        <v>272</v>
      </c>
      <c r="B38" s="133" t="s">
        <v>426</v>
      </c>
      <c r="C38" s="199"/>
      <c r="D38" s="199"/>
      <c r="E38" s="199"/>
      <c r="F38" s="199" t="s">
        <v>332</v>
      </c>
      <c r="G38" s="199"/>
    </row>
    <row r="39" spans="1:7" s="18" customFormat="1" ht="20.149999999999999" customHeight="1" x14ac:dyDescent="0.35">
      <c r="A39" s="132" t="s">
        <v>273</v>
      </c>
      <c r="B39" s="132" t="s">
        <v>294</v>
      </c>
      <c r="C39" s="199"/>
      <c r="D39" s="199"/>
      <c r="E39" s="199" t="s">
        <v>332</v>
      </c>
      <c r="F39" s="199"/>
      <c r="G39" s="199"/>
    </row>
    <row r="40" spans="1:7" s="18" customFormat="1" ht="20.149999999999999" customHeight="1" x14ac:dyDescent="0.35">
      <c r="A40" s="132" t="s">
        <v>361</v>
      </c>
      <c r="B40" s="132" t="s">
        <v>362</v>
      </c>
      <c r="C40" s="199"/>
      <c r="D40" s="199"/>
      <c r="E40" s="199"/>
      <c r="F40" s="199"/>
      <c r="G40" s="199"/>
    </row>
    <row r="41" spans="1:7" s="18" customFormat="1" ht="27.65" customHeight="1" x14ac:dyDescent="0.35">
      <c r="A41" s="132" t="s">
        <v>437</v>
      </c>
      <c r="B41" s="133" t="s">
        <v>438</v>
      </c>
      <c r="C41" s="199"/>
      <c r="D41" s="199"/>
      <c r="E41" s="199"/>
      <c r="F41" s="199"/>
      <c r="G41" s="199"/>
    </row>
    <row r="42" spans="1:7" s="18" customFormat="1" ht="20.149999999999999" customHeight="1" x14ac:dyDescent="0.35">
      <c r="A42" s="132" t="s">
        <v>387</v>
      </c>
      <c r="B42" s="132" t="s">
        <v>427</v>
      </c>
      <c r="C42" s="199"/>
      <c r="D42" s="199"/>
      <c r="E42" s="199"/>
      <c r="F42" s="199"/>
      <c r="G42" s="199"/>
    </row>
    <row r="43" spans="1:7" s="18" customFormat="1" ht="20.149999999999999" customHeight="1" x14ac:dyDescent="0.35">
      <c r="A43" s="132" t="s">
        <v>389</v>
      </c>
      <c r="B43" s="132" t="s">
        <v>388</v>
      </c>
      <c r="C43" s="199"/>
      <c r="D43" s="199"/>
      <c r="E43" s="199"/>
      <c r="F43" s="199"/>
      <c r="G43" s="199"/>
    </row>
    <row r="44" spans="1:7" s="18" customFormat="1" ht="20.149999999999999" customHeight="1" x14ac:dyDescent="0.35">
      <c r="A44" s="132" t="s">
        <v>391</v>
      </c>
      <c r="B44" s="132" t="s">
        <v>390</v>
      </c>
      <c r="C44" s="199"/>
      <c r="D44" s="199"/>
      <c r="E44" s="199"/>
      <c r="F44" s="199"/>
      <c r="G44" s="199"/>
    </row>
    <row r="45" spans="1:7" s="18" customFormat="1" ht="20.149999999999999" customHeight="1" x14ac:dyDescent="0.35">
      <c r="A45" s="132" t="s">
        <v>393</v>
      </c>
      <c r="B45" s="132" t="s">
        <v>392</v>
      </c>
      <c r="C45" s="199"/>
      <c r="D45" s="199"/>
      <c r="E45" s="199"/>
      <c r="F45" s="199"/>
      <c r="G45" s="199"/>
    </row>
    <row r="46" spans="1:7" s="18" customFormat="1" ht="20.149999999999999" customHeight="1" x14ac:dyDescent="0.35">
      <c r="A46" s="132" t="s">
        <v>395</v>
      </c>
      <c r="B46" s="132" t="s">
        <v>394</v>
      </c>
      <c r="C46" s="199"/>
      <c r="D46" s="199"/>
      <c r="E46" s="199"/>
      <c r="F46" s="199"/>
      <c r="G46" s="199"/>
    </row>
  </sheetData>
  <mergeCells count="2">
    <mergeCell ref="A2:B2"/>
    <mergeCell ref="A1:F1"/>
  </mergeCells>
  <pageMargins left="0.7" right="0.7" top="0.75" bottom="0.75" header="0.3" footer="0.3"/>
  <pageSetup paperSize="9"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4" r:id="rId4" name="Drop Down 6">
              <controlPr defaultSize="0" autoLine="0" autoPict="0" macro="[0]!Listadesplegable6_Cambiar">
                <anchor moveWithCells="1">
                  <from>
                    <xdr:col>6</xdr:col>
                    <xdr:colOff>908050</xdr:colOff>
                    <xdr:row>1</xdr:row>
                    <xdr:rowOff>101600</xdr:rowOff>
                  </from>
                  <to>
                    <xdr:col>7</xdr:col>
                    <xdr:colOff>0</xdr:colOff>
                    <xdr:row>1</xdr:row>
                    <xdr:rowOff>349250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V17"/>
  <sheetViews>
    <sheetView tabSelected="1" zoomScale="70" zoomScaleNormal="70" workbookViewId="0">
      <selection activeCell="A3" sqref="A3"/>
    </sheetView>
  </sheetViews>
  <sheetFormatPr baseColWidth="10" defaultColWidth="11.453125" defaultRowHeight="10.5" x14ac:dyDescent="0.25"/>
  <cols>
    <col min="1" max="1" width="15.54296875" style="137" bestFit="1" customWidth="1"/>
    <col min="2" max="2" width="18.08984375" style="137" customWidth="1"/>
    <col min="3" max="3" width="9.54296875" style="137" customWidth="1"/>
    <col min="4" max="4" width="10.08984375" style="137" customWidth="1"/>
    <col min="5" max="6" width="9.54296875" style="137" customWidth="1"/>
    <col min="7" max="7" width="10" style="137" customWidth="1"/>
    <col min="8" max="8" width="10.453125" style="137" customWidth="1"/>
    <col min="9" max="9" width="9.6328125" style="137" customWidth="1"/>
    <col min="10" max="10" width="9.81640625" style="137" customWidth="1"/>
    <col min="11" max="11" width="9.54296875" style="137" customWidth="1"/>
    <col min="12" max="12" width="9.453125" style="137" customWidth="1"/>
    <col min="13" max="13" width="12.54296875" style="137" customWidth="1"/>
    <col min="14" max="14" width="15.453125" style="137" customWidth="1"/>
    <col min="15" max="16" width="9.6328125" style="137" customWidth="1"/>
    <col min="17" max="17" width="9.54296875" style="137" customWidth="1"/>
    <col min="18" max="18" width="8.90625" style="137" customWidth="1"/>
    <col min="19" max="19" width="8.6328125" style="137" customWidth="1"/>
    <col min="20" max="21" width="8.90625" style="137" customWidth="1"/>
    <col min="22" max="23" width="9.453125" style="137" customWidth="1"/>
    <col min="24" max="24" width="9.6328125" style="137" customWidth="1"/>
    <col min="25" max="25" width="9.90625" style="137" customWidth="1"/>
    <col min="26" max="26" width="9.1796875" style="137" customWidth="1"/>
    <col min="27" max="27" width="9.54296875" style="137" customWidth="1"/>
    <col min="28" max="28" width="9.08984375" style="137" customWidth="1"/>
    <col min="29" max="29" width="9.453125" style="137" customWidth="1"/>
    <col min="30" max="30" width="10" style="137" customWidth="1"/>
    <col min="31" max="31" width="10.08984375" style="137" customWidth="1"/>
    <col min="32" max="32" width="10" style="137" customWidth="1"/>
    <col min="33" max="33" width="9.453125" style="137" customWidth="1"/>
    <col min="34" max="34" width="10.08984375" style="137" customWidth="1"/>
    <col min="35" max="35" width="11.6328125" style="137" customWidth="1"/>
    <col min="36" max="36" width="18.1796875" style="171" customWidth="1"/>
    <col min="37" max="37" width="10.1796875" style="171" customWidth="1"/>
    <col min="38" max="38" width="18.6328125" style="137" customWidth="1"/>
    <col min="39" max="39" width="5.6328125" style="137" customWidth="1"/>
    <col min="40" max="40" width="19.453125" style="137" bestFit="1" customWidth="1"/>
    <col min="41" max="41" width="18.6328125" style="137" customWidth="1"/>
    <col min="42" max="42" width="19.453125" style="137" bestFit="1" customWidth="1"/>
    <col min="43" max="43" width="18.6328125" style="137" customWidth="1"/>
    <col min="44" max="44" width="18.453125" style="137" bestFit="1" customWidth="1"/>
    <col min="45" max="16384" width="11.453125" style="137"/>
  </cols>
  <sheetData>
    <row r="1" spans="1:48" s="135" customFormat="1" ht="11.5" x14ac:dyDescent="0.35">
      <c r="A1" s="134"/>
      <c r="B1" s="254" t="s">
        <v>303</v>
      </c>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54"/>
      <c r="AJ1" s="254"/>
      <c r="AK1" s="254"/>
      <c r="AL1" s="254"/>
    </row>
    <row r="2" spans="1:48" s="135" customFormat="1" ht="11.5" x14ac:dyDescent="0.25">
      <c r="A2" s="134"/>
      <c r="B2" s="136" t="s">
        <v>304</v>
      </c>
      <c r="C2" s="255" t="s">
        <v>305</v>
      </c>
      <c r="D2" s="255"/>
      <c r="E2" s="255"/>
      <c r="F2" s="255"/>
      <c r="G2" s="255"/>
      <c r="H2" s="255"/>
      <c r="I2" s="255"/>
      <c r="J2" s="255"/>
      <c r="K2" s="255"/>
      <c r="L2" s="256"/>
      <c r="M2" s="257" t="s">
        <v>306</v>
      </c>
      <c r="N2" s="258"/>
      <c r="O2" s="258"/>
      <c r="P2" s="258"/>
      <c r="Q2" s="258"/>
      <c r="R2" s="258"/>
      <c r="S2" s="258"/>
      <c r="T2" s="258"/>
      <c r="U2" s="258"/>
      <c r="V2" s="258"/>
      <c r="W2" s="258"/>
      <c r="X2" s="258"/>
      <c r="Y2" s="258"/>
      <c r="Z2" s="258"/>
      <c r="AA2" s="259"/>
      <c r="AB2" s="260" t="s">
        <v>307</v>
      </c>
      <c r="AC2" s="261"/>
      <c r="AD2" s="261"/>
      <c r="AE2" s="261"/>
      <c r="AF2" s="262"/>
      <c r="AG2" s="263" t="s">
        <v>308</v>
      </c>
      <c r="AH2" s="264"/>
      <c r="AI2" s="265"/>
      <c r="AJ2" s="266" t="s">
        <v>309</v>
      </c>
      <c r="AK2" s="267"/>
      <c r="AL2" s="267"/>
      <c r="AN2" s="137"/>
      <c r="AO2" s="137"/>
      <c r="AP2" s="137"/>
      <c r="AQ2" s="137"/>
      <c r="AR2" s="137"/>
      <c r="AS2" s="137"/>
      <c r="AT2" s="137"/>
      <c r="AU2" s="137"/>
    </row>
    <row r="3" spans="1:48" s="144" customFormat="1" ht="103.5" x14ac:dyDescent="0.25">
      <c r="A3" s="138"/>
      <c r="B3" s="139" t="s">
        <v>441</v>
      </c>
      <c r="C3" s="140" t="s">
        <v>367</v>
      </c>
      <c r="D3" s="140" t="s">
        <v>442</v>
      </c>
      <c r="E3" s="140" t="s">
        <v>443</v>
      </c>
      <c r="F3" s="140" t="s">
        <v>444</v>
      </c>
      <c r="G3" s="140" t="s">
        <v>445</v>
      </c>
      <c r="H3" s="140" t="s">
        <v>368</v>
      </c>
      <c r="I3" s="140" t="s">
        <v>446</v>
      </c>
      <c r="J3" s="140" t="s">
        <v>447</v>
      </c>
      <c r="K3" s="140" t="s">
        <v>448</v>
      </c>
      <c r="L3" s="140" t="s">
        <v>449</v>
      </c>
      <c r="M3" s="141" t="s">
        <v>450</v>
      </c>
      <c r="N3" s="141" t="s">
        <v>451</v>
      </c>
      <c r="O3" s="141" t="s">
        <v>452</v>
      </c>
      <c r="P3" s="141" t="s">
        <v>453</v>
      </c>
      <c r="Q3" s="141" t="s">
        <v>454</v>
      </c>
      <c r="R3" s="141" t="s">
        <v>455</v>
      </c>
      <c r="S3" s="141" t="s">
        <v>456</v>
      </c>
      <c r="T3" s="141" t="s">
        <v>457</v>
      </c>
      <c r="U3" s="141" t="s">
        <v>484</v>
      </c>
      <c r="V3" s="141" t="s">
        <v>458</v>
      </c>
      <c r="W3" s="141" t="s">
        <v>459</v>
      </c>
      <c r="X3" s="141" t="s">
        <v>460</v>
      </c>
      <c r="Y3" s="141" t="s">
        <v>369</v>
      </c>
      <c r="Z3" s="141" t="s">
        <v>310</v>
      </c>
      <c r="AA3" s="141" t="s">
        <v>461</v>
      </c>
      <c r="AB3" s="142" t="s">
        <v>462</v>
      </c>
      <c r="AC3" s="142" t="s">
        <v>370</v>
      </c>
      <c r="AD3" s="142" t="s">
        <v>463</v>
      </c>
      <c r="AE3" s="142" t="s">
        <v>371</v>
      </c>
      <c r="AF3" s="142" t="s">
        <v>372</v>
      </c>
      <c r="AG3" s="143" t="s">
        <v>464</v>
      </c>
      <c r="AH3" s="143" t="s">
        <v>465</v>
      </c>
      <c r="AI3" s="143" t="s">
        <v>311</v>
      </c>
      <c r="AJ3" s="253" t="s">
        <v>312</v>
      </c>
      <c r="AK3" s="253" t="s">
        <v>25</v>
      </c>
      <c r="AL3" s="253" t="s">
        <v>313</v>
      </c>
      <c r="AN3" s="137"/>
      <c r="AO3" s="137"/>
      <c r="AP3" s="137"/>
      <c r="AQ3" s="137"/>
      <c r="AR3" s="137"/>
      <c r="AS3" s="137"/>
      <c r="AT3" s="137"/>
      <c r="AU3" s="137"/>
    </row>
    <row r="4" spans="1:48" s="152" customFormat="1" ht="149.5" x14ac:dyDescent="0.25">
      <c r="A4" s="138"/>
      <c r="B4" s="145"/>
      <c r="C4" s="146" t="s">
        <v>314</v>
      </c>
      <c r="D4" s="146" t="s">
        <v>314</v>
      </c>
      <c r="E4" s="147" t="s">
        <v>315</v>
      </c>
      <c r="F4" s="147" t="s">
        <v>315</v>
      </c>
      <c r="G4" s="147" t="s">
        <v>316</v>
      </c>
      <c r="H4" s="147" t="s">
        <v>316</v>
      </c>
      <c r="I4" s="146"/>
      <c r="J4" s="146"/>
      <c r="K4" s="146" t="s">
        <v>317</v>
      </c>
      <c r="L4" s="146" t="s">
        <v>317</v>
      </c>
      <c r="M4" s="148" t="s">
        <v>466</v>
      </c>
      <c r="N4" s="148" t="s">
        <v>373</v>
      </c>
      <c r="O4" s="148" t="s">
        <v>318</v>
      </c>
      <c r="P4" s="148" t="s">
        <v>319</v>
      </c>
      <c r="Q4" s="148" t="s">
        <v>320</v>
      </c>
      <c r="R4" s="148" t="s">
        <v>466</v>
      </c>
      <c r="S4" s="148" t="s">
        <v>321</v>
      </c>
      <c r="T4" s="148" t="s">
        <v>322</v>
      </c>
      <c r="U4" s="148" t="s">
        <v>485</v>
      </c>
      <c r="V4" s="148" t="s">
        <v>323</v>
      </c>
      <c r="W4" s="148" t="s">
        <v>324</v>
      </c>
      <c r="X4" s="148" t="s">
        <v>467</v>
      </c>
      <c r="Y4" s="148" t="s">
        <v>325</v>
      </c>
      <c r="Z4" s="148" t="s">
        <v>468</v>
      </c>
      <c r="AA4" s="148" t="s">
        <v>469</v>
      </c>
      <c r="AB4" s="149" t="s">
        <v>374</v>
      </c>
      <c r="AC4" s="149" t="s">
        <v>326</v>
      </c>
      <c r="AD4" s="150" t="s">
        <v>327</v>
      </c>
      <c r="AE4" s="150" t="s">
        <v>470</v>
      </c>
      <c r="AF4" s="149" t="s">
        <v>375</v>
      </c>
      <c r="AG4" s="151" t="s">
        <v>471</v>
      </c>
      <c r="AH4" s="151" t="s">
        <v>472</v>
      </c>
      <c r="AI4" s="151" t="s">
        <v>328</v>
      </c>
      <c r="AJ4" s="253"/>
      <c r="AK4" s="253"/>
      <c r="AL4" s="253"/>
      <c r="AN4" s="137"/>
      <c r="AO4" s="137"/>
      <c r="AP4" s="137"/>
      <c r="AQ4" s="137"/>
      <c r="AR4" s="137"/>
      <c r="AS4" s="137"/>
      <c r="AT4" s="153"/>
    </row>
    <row r="5" spans="1:48" ht="80.5" x14ac:dyDescent="0.25">
      <c r="A5" s="194" t="s">
        <v>473</v>
      </c>
      <c r="B5" s="154" t="s">
        <v>474</v>
      </c>
      <c r="C5" s="155"/>
      <c r="D5" s="155"/>
      <c r="E5" s="155"/>
      <c r="F5" s="155"/>
      <c r="G5" s="180"/>
      <c r="H5" s="180"/>
      <c r="I5" s="155"/>
      <c r="J5" s="155"/>
      <c r="K5" s="195" t="s">
        <v>486</v>
      </c>
      <c r="L5" s="195" t="s">
        <v>486</v>
      </c>
      <c r="M5" s="196" t="s">
        <v>476</v>
      </c>
      <c r="N5" s="196" t="s">
        <v>475</v>
      </c>
      <c r="O5" s="156"/>
      <c r="P5" s="156"/>
      <c r="Q5" s="156"/>
      <c r="R5" s="196" t="s">
        <v>475</v>
      </c>
      <c r="S5" s="196" t="s">
        <v>475</v>
      </c>
      <c r="T5" s="156"/>
      <c r="U5" s="156"/>
      <c r="V5" s="156"/>
      <c r="W5" s="156"/>
      <c r="X5" s="196" t="s">
        <v>475</v>
      </c>
      <c r="Y5" s="196" t="s">
        <v>475</v>
      </c>
      <c r="Z5" s="196" t="s">
        <v>475</v>
      </c>
      <c r="AA5" s="196" t="s">
        <v>475</v>
      </c>
      <c r="AB5" s="197" t="s">
        <v>475</v>
      </c>
      <c r="AC5" s="157"/>
      <c r="AD5" s="197" t="s">
        <v>475</v>
      </c>
      <c r="AE5" s="197" t="s">
        <v>475</v>
      </c>
      <c r="AF5" s="197" t="s">
        <v>475</v>
      </c>
      <c r="AG5" s="158"/>
      <c r="AH5" s="158"/>
      <c r="AI5" s="198" t="s">
        <v>477</v>
      </c>
      <c r="AJ5" s="159" t="s">
        <v>329</v>
      </c>
      <c r="AK5" s="159" t="s">
        <v>330</v>
      </c>
      <c r="AL5" s="160" t="s">
        <v>331</v>
      </c>
      <c r="AT5" s="161"/>
    </row>
    <row r="6" spans="1:48" s="165" customFormat="1" ht="69" x14ac:dyDescent="0.25">
      <c r="A6" s="166" t="s">
        <v>478</v>
      </c>
      <c r="B6" s="167" t="s">
        <v>332</v>
      </c>
      <c r="C6" s="167" t="s">
        <v>332</v>
      </c>
      <c r="D6" s="167" t="s">
        <v>332</v>
      </c>
      <c r="E6" s="167" t="s">
        <v>332</v>
      </c>
      <c r="F6" s="167" t="s">
        <v>332</v>
      </c>
      <c r="G6" s="167" t="s">
        <v>332</v>
      </c>
      <c r="H6" s="167"/>
      <c r="I6" s="167" t="s">
        <v>332</v>
      </c>
      <c r="J6" s="167" t="s">
        <v>332</v>
      </c>
      <c r="K6" s="167" t="s">
        <v>332</v>
      </c>
      <c r="L6" s="167" t="s">
        <v>332</v>
      </c>
      <c r="M6" s="167" t="s">
        <v>332</v>
      </c>
      <c r="N6" s="162" t="s">
        <v>332</v>
      </c>
      <c r="O6" s="162" t="s">
        <v>332</v>
      </c>
      <c r="P6" s="162"/>
      <c r="Q6" s="162"/>
      <c r="R6" s="200" t="s">
        <v>332</v>
      </c>
      <c r="S6" s="162" t="s">
        <v>332</v>
      </c>
      <c r="T6" s="163" t="s">
        <v>332</v>
      </c>
      <c r="U6" s="163" t="s">
        <v>332</v>
      </c>
      <c r="V6" s="163" t="s">
        <v>332</v>
      </c>
      <c r="W6" s="163" t="s">
        <v>332</v>
      </c>
      <c r="X6" s="163" t="s">
        <v>332</v>
      </c>
      <c r="Y6" s="163"/>
      <c r="Z6" s="163" t="s">
        <v>332</v>
      </c>
      <c r="AA6" s="163" t="s">
        <v>332</v>
      </c>
      <c r="AB6" s="162" t="s">
        <v>332</v>
      </c>
      <c r="AC6" s="162" t="s">
        <v>332</v>
      </c>
      <c r="AD6" s="162" t="s">
        <v>332</v>
      </c>
      <c r="AE6" s="162"/>
      <c r="AF6" s="163" t="s">
        <v>332</v>
      </c>
      <c r="AG6" s="163" t="s">
        <v>332</v>
      </c>
      <c r="AH6" s="163" t="s">
        <v>332</v>
      </c>
      <c r="AI6" s="163" t="s">
        <v>332</v>
      </c>
      <c r="AJ6" s="164" t="s">
        <v>332</v>
      </c>
      <c r="AK6" s="164" t="s">
        <v>332</v>
      </c>
      <c r="AL6" s="164"/>
      <c r="AM6" s="135"/>
      <c r="AN6" s="137"/>
      <c r="AO6" s="137"/>
      <c r="AP6" s="137"/>
      <c r="AQ6" s="137"/>
      <c r="AR6" s="137"/>
      <c r="AS6" s="137"/>
      <c r="AT6" s="135"/>
      <c r="AU6" s="135"/>
      <c r="AV6" s="135"/>
    </row>
    <row r="7" spans="1:48" s="165" customFormat="1" ht="80.5" x14ac:dyDescent="0.25">
      <c r="A7" s="166" t="s">
        <v>479</v>
      </c>
      <c r="B7" s="167" t="s">
        <v>332</v>
      </c>
      <c r="C7" s="167"/>
      <c r="D7" s="167"/>
      <c r="E7" s="167" t="s">
        <v>5</v>
      </c>
      <c r="F7" s="167" t="s">
        <v>5</v>
      </c>
      <c r="G7" s="167"/>
      <c r="H7" s="167" t="s">
        <v>332</v>
      </c>
      <c r="I7" s="167" t="s">
        <v>332</v>
      </c>
      <c r="J7" s="167" t="s">
        <v>332</v>
      </c>
      <c r="K7" s="167" t="s">
        <v>332</v>
      </c>
      <c r="L7" s="167" t="s">
        <v>332</v>
      </c>
      <c r="M7" s="167" t="s">
        <v>332</v>
      </c>
      <c r="N7" s="162" t="s">
        <v>332</v>
      </c>
      <c r="O7" s="162" t="s">
        <v>332</v>
      </c>
      <c r="P7" s="162"/>
      <c r="Q7" s="162"/>
      <c r="R7" s="200" t="s">
        <v>332</v>
      </c>
      <c r="S7" s="162" t="s">
        <v>332</v>
      </c>
      <c r="T7" s="163" t="s">
        <v>332</v>
      </c>
      <c r="U7" s="163" t="s">
        <v>332</v>
      </c>
      <c r="V7" s="163" t="s">
        <v>332</v>
      </c>
      <c r="W7" s="163" t="s">
        <v>332</v>
      </c>
      <c r="X7" s="163" t="s">
        <v>332</v>
      </c>
      <c r="Y7" s="163"/>
      <c r="Z7" s="163" t="s">
        <v>332</v>
      </c>
      <c r="AA7" s="163" t="s">
        <v>332</v>
      </c>
      <c r="AB7" s="162" t="s">
        <v>332</v>
      </c>
      <c r="AC7" s="162" t="s">
        <v>332</v>
      </c>
      <c r="AD7" s="162" t="s">
        <v>332</v>
      </c>
      <c r="AE7" s="162"/>
      <c r="AF7" s="163" t="s">
        <v>332</v>
      </c>
      <c r="AG7" s="163" t="s">
        <v>332</v>
      </c>
      <c r="AH7" s="163" t="s">
        <v>332</v>
      </c>
      <c r="AI7" s="163" t="s">
        <v>332</v>
      </c>
      <c r="AJ7" s="164" t="s">
        <v>332</v>
      </c>
      <c r="AK7" s="164" t="s">
        <v>332</v>
      </c>
      <c r="AL7" s="164"/>
      <c r="AM7" s="135"/>
      <c r="AN7" s="137"/>
      <c r="AO7" s="137"/>
      <c r="AP7" s="137"/>
      <c r="AQ7" s="137"/>
      <c r="AR7" s="137"/>
      <c r="AS7" s="137"/>
      <c r="AT7" s="135"/>
      <c r="AU7" s="135"/>
      <c r="AV7" s="135"/>
    </row>
    <row r="8" spans="1:48" s="165" customFormat="1" ht="34.5" x14ac:dyDescent="0.25">
      <c r="A8" s="166" t="s">
        <v>333</v>
      </c>
      <c r="B8" s="167"/>
      <c r="C8" s="167"/>
      <c r="D8" s="167"/>
      <c r="E8" s="167"/>
      <c r="F8" s="167"/>
      <c r="G8" s="167"/>
      <c r="H8" s="167"/>
      <c r="I8" s="167"/>
      <c r="J8" s="167"/>
      <c r="K8" s="167"/>
      <c r="L8" s="167"/>
      <c r="M8" s="167"/>
      <c r="N8" s="162" t="s">
        <v>332</v>
      </c>
      <c r="O8" s="162" t="s">
        <v>332</v>
      </c>
      <c r="P8" s="162"/>
      <c r="Q8" s="162" t="s">
        <v>5</v>
      </c>
      <c r="R8" s="181"/>
      <c r="S8" s="162"/>
      <c r="T8" s="163" t="s">
        <v>332</v>
      </c>
      <c r="U8" s="163"/>
      <c r="V8" s="163"/>
      <c r="W8" s="163"/>
      <c r="X8" s="163"/>
      <c r="Y8" s="163" t="s">
        <v>332</v>
      </c>
      <c r="Z8" s="163" t="s">
        <v>332</v>
      </c>
      <c r="AA8" s="163"/>
      <c r="AB8" s="162"/>
      <c r="AC8" s="162"/>
      <c r="AD8" s="162"/>
      <c r="AE8" s="162"/>
      <c r="AF8" s="163"/>
      <c r="AG8" s="163"/>
      <c r="AH8" s="163" t="s">
        <v>332</v>
      </c>
      <c r="AI8" s="163" t="s">
        <v>332</v>
      </c>
      <c r="AJ8" s="164" t="s">
        <v>332</v>
      </c>
      <c r="AK8" s="164" t="s">
        <v>332</v>
      </c>
      <c r="AL8" s="164" t="s">
        <v>332</v>
      </c>
      <c r="AM8" s="135"/>
      <c r="AN8" s="137"/>
      <c r="AO8" s="137"/>
      <c r="AP8" s="137"/>
      <c r="AQ8" s="137"/>
      <c r="AR8" s="137"/>
      <c r="AS8" s="137"/>
      <c r="AT8" s="135"/>
      <c r="AU8" s="135"/>
      <c r="AV8" s="135"/>
    </row>
    <row r="9" spans="1:48" s="165" customFormat="1" ht="46" x14ac:dyDescent="0.25">
      <c r="A9" s="166" t="s">
        <v>334</v>
      </c>
      <c r="B9" s="167"/>
      <c r="C9" s="167"/>
      <c r="D9" s="167"/>
      <c r="E9" s="167"/>
      <c r="F9" s="167"/>
      <c r="G9" s="167"/>
      <c r="H9" s="167"/>
      <c r="I9" s="167"/>
      <c r="J9" s="167"/>
      <c r="K9" s="167"/>
      <c r="L9" s="167"/>
      <c r="M9" s="167" t="s">
        <v>332</v>
      </c>
      <c r="N9" s="162" t="s">
        <v>332</v>
      </c>
      <c r="O9" s="162"/>
      <c r="P9" s="162"/>
      <c r="Q9" s="162" t="s">
        <v>5</v>
      </c>
      <c r="R9" s="181"/>
      <c r="S9" s="162" t="s">
        <v>332</v>
      </c>
      <c r="T9" s="163" t="s">
        <v>332</v>
      </c>
      <c r="U9" s="163"/>
      <c r="V9" s="163"/>
      <c r="W9" s="163"/>
      <c r="X9" s="163"/>
      <c r="Y9" s="163" t="s">
        <v>332</v>
      </c>
      <c r="Z9" s="163" t="s">
        <v>332</v>
      </c>
      <c r="AA9" s="163" t="s">
        <v>5</v>
      </c>
      <c r="AB9" s="162" t="s">
        <v>332</v>
      </c>
      <c r="AC9" s="162" t="s">
        <v>332</v>
      </c>
      <c r="AD9" s="162" t="s">
        <v>332</v>
      </c>
      <c r="AE9" s="162" t="s">
        <v>332</v>
      </c>
      <c r="AF9" s="163"/>
      <c r="AG9" s="163"/>
      <c r="AH9" s="163" t="s">
        <v>332</v>
      </c>
      <c r="AI9" s="163" t="s">
        <v>332</v>
      </c>
      <c r="AJ9" s="164" t="s">
        <v>332</v>
      </c>
      <c r="AK9" s="164" t="s">
        <v>332</v>
      </c>
      <c r="AL9" s="164"/>
      <c r="AM9" s="135"/>
      <c r="AN9" s="137"/>
      <c r="AO9" s="137"/>
      <c r="AP9" s="137"/>
      <c r="AQ9" s="137"/>
      <c r="AR9" s="137"/>
      <c r="AS9" s="137"/>
      <c r="AT9" s="135"/>
      <c r="AU9" s="135"/>
      <c r="AV9" s="135"/>
    </row>
    <row r="10" spans="1:48" s="165" customFormat="1" ht="52" x14ac:dyDescent="0.25">
      <c r="A10" s="166" t="s">
        <v>335</v>
      </c>
      <c r="B10" s="167"/>
      <c r="C10" s="167"/>
      <c r="D10" s="167"/>
      <c r="E10" s="167"/>
      <c r="F10" s="167"/>
      <c r="G10" s="167"/>
      <c r="H10" s="167"/>
      <c r="I10" s="167"/>
      <c r="J10" s="167"/>
      <c r="K10" s="167"/>
      <c r="L10" s="167"/>
      <c r="M10" s="167" t="s">
        <v>332</v>
      </c>
      <c r="N10" s="162" t="s">
        <v>332</v>
      </c>
      <c r="O10" s="162"/>
      <c r="P10" s="162"/>
      <c r="Q10" s="162"/>
      <c r="R10" s="181"/>
      <c r="S10" s="162" t="s">
        <v>332</v>
      </c>
      <c r="T10" s="163" t="s">
        <v>332</v>
      </c>
      <c r="U10" s="163"/>
      <c r="V10" s="163"/>
      <c r="W10" s="163"/>
      <c r="X10" s="163" t="s">
        <v>332</v>
      </c>
      <c r="Y10" s="163"/>
      <c r="Z10" s="163" t="s">
        <v>332</v>
      </c>
      <c r="AA10" s="163" t="s">
        <v>332</v>
      </c>
      <c r="AB10" s="162" t="s">
        <v>480</v>
      </c>
      <c r="AC10" s="162" t="s">
        <v>332</v>
      </c>
      <c r="AD10" s="162"/>
      <c r="AE10" s="162" t="s">
        <v>332</v>
      </c>
      <c r="AF10" s="163"/>
      <c r="AG10" s="163" t="s">
        <v>332</v>
      </c>
      <c r="AH10" s="163" t="s">
        <v>332</v>
      </c>
      <c r="AI10" s="163" t="s">
        <v>332</v>
      </c>
      <c r="AJ10" s="164" t="s">
        <v>332</v>
      </c>
      <c r="AK10" s="164" t="s">
        <v>5</v>
      </c>
      <c r="AL10" s="167" t="s">
        <v>481</v>
      </c>
      <c r="AM10" s="135"/>
      <c r="AN10" s="137"/>
      <c r="AO10" s="137"/>
      <c r="AP10" s="137"/>
      <c r="AQ10" s="137"/>
      <c r="AR10" s="137"/>
      <c r="AS10" s="137"/>
      <c r="AT10" s="135"/>
      <c r="AU10" s="135"/>
      <c r="AV10" s="135"/>
    </row>
    <row r="11" spans="1:48" s="165" customFormat="1" ht="46" x14ac:dyDescent="0.25">
      <c r="A11" s="166" t="s">
        <v>336</v>
      </c>
      <c r="B11" s="167"/>
      <c r="C11" s="167"/>
      <c r="D11" s="167"/>
      <c r="E11" s="167"/>
      <c r="F11" s="167"/>
      <c r="G11" s="167"/>
      <c r="H11" s="167"/>
      <c r="I11" s="167"/>
      <c r="J11" s="167"/>
      <c r="K11" s="167"/>
      <c r="L11" s="167"/>
      <c r="M11" s="167" t="s">
        <v>332</v>
      </c>
      <c r="N11" s="162" t="s">
        <v>332</v>
      </c>
      <c r="O11" s="162"/>
      <c r="P11" s="162"/>
      <c r="Q11" s="162"/>
      <c r="R11" s="181"/>
      <c r="S11" s="162" t="s">
        <v>332</v>
      </c>
      <c r="T11" s="163" t="s">
        <v>332</v>
      </c>
      <c r="U11" s="163"/>
      <c r="V11" s="163"/>
      <c r="W11" s="163"/>
      <c r="X11" s="163" t="s">
        <v>332</v>
      </c>
      <c r="Y11" s="163"/>
      <c r="Z11" s="163" t="s">
        <v>332</v>
      </c>
      <c r="AA11" s="163" t="s">
        <v>332</v>
      </c>
      <c r="AB11" s="162" t="s">
        <v>480</v>
      </c>
      <c r="AC11" s="162" t="s">
        <v>332</v>
      </c>
      <c r="AD11" s="162"/>
      <c r="AE11" s="162" t="s">
        <v>332</v>
      </c>
      <c r="AF11" s="163"/>
      <c r="AG11" s="163" t="s">
        <v>332</v>
      </c>
      <c r="AH11" s="163" t="s">
        <v>332</v>
      </c>
      <c r="AI11" s="163" t="s">
        <v>332</v>
      </c>
      <c r="AJ11" s="164" t="s">
        <v>332</v>
      </c>
      <c r="AK11" s="164" t="s">
        <v>332</v>
      </c>
      <c r="AL11" s="167"/>
      <c r="AM11" s="135"/>
      <c r="AN11" s="137"/>
      <c r="AO11" s="137"/>
      <c r="AP11" s="137"/>
      <c r="AQ11" s="137"/>
      <c r="AR11" s="137"/>
      <c r="AS11" s="137"/>
      <c r="AT11" s="135"/>
      <c r="AU11" s="135"/>
      <c r="AV11" s="135"/>
    </row>
    <row r="12" spans="1:48" s="165" customFormat="1" ht="80.5" x14ac:dyDescent="0.25">
      <c r="A12" s="166" t="s">
        <v>337</v>
      </c>
      <c r="B12" s="167"/>
      <c r="C12" s="167"/>
      <c r="D12" s="167"/>
      <c r="E12" s="167"/>
      <c r="F12" s="167"/>
      <c r="G12" s="167"/>
      <c r="H12" s="167"/>
      <c r="I12" s="167"/>
      <c r="J12" s="167"/>
      <c r="K12" s="167"/>
      <c r="L12" s="167"/>
      <c r="M12" s="167" t="s">
        <v>332</v>
      </c>
      <c r="N12" s="162"/>
      <c r="O12" s="162"/>
      <c r="P12" s="162" t="s">
        <v>332</v>
      </c>
      <c r="Q12" s="162" t="s">
        <v>332</v>
      </c>
      <c r="R12" s="181"/>
      <c r="S12" s="162" t="s">
        <v>332</v>
      </c>
      <c r="T12" s="163" t="s">
        <v>332</v>
      </c>
      <c r="U12" s="163"/>
      <c r="V12" s="163"/>
      <c r="W12" s="163"/>
      <c r="X12" s="163"/>
      <c r="Y12" s="163"/>
      <c r="Z12" s="163"/>
      <c r="AA12" s="163"/>
      <c r="AB12" s="162" t="s">
        <v>5</v>
      </c>
      <c r="AC12" s="162" t="s">
        <v>5</v>
      </c>
      <c r="AD12" s="162" t="s">
        <v>5</v>
      </c>
      <c r="AE12" s="162" t="s">
        <v>5</v>
      </c>
      <c r="AF12" s="163"/>
      <c r="AG12" s="163" t="s">
        <v>5</v>
      </c>
      <c r="AH12" s="163" t="s">
        <v>332</v>
      </c>
      <c r="AI12" s="163" t="s">
        <v>332</v>
      </c>
      <c r="AJ12" s="164" t="s">
        <v>332</v>
      </c>
      <c r="AK12" s="164" t="s">
        <v>332</v>
      </c>
      <c r="AL12" s="167"/>
      <c r="AM12" s="135"/>
      <c r="AN12" s="137"/>
      <c r="AO12" s="137"/>
      <c r="AP12" s="137"/>
      <c r="AQ12" s="137"/>
      <c r="AR12" s="137"/>
      <c r="AS12" s="137"/>
      <c r="AT12" s="135"/>
      <c r="AU12" s="135"/>
      <c r="AV12" s="135"/>
    </row>
    <row r="13" spans="1:48" s="165" customFormat="1" ht="92" x14ac:dyDescent="0.25">
      <c r="A13" s="166" t="s">
        <v>338</v>
      </c>
      <c r="B13" s="167"/>
      <c r="C13" s="167"/>
      <c r="D13" s="167"/>
      <c r="E13" s="167"/>
      <c r="F13" s="167"/>
      <c r="G13" s="167"/>
      <c r="H13" s="167"/>
      <c r="I13" s="167"/>
      <c r="J13" s="167"/>
      <c r="K13" s="167"/>
      <c r="L13" s="167"/>
      <c r="M13" s="167" t="s">
        <v>332</v>
      </c>
      <c r="N13" s="162"/>
      <c r="O13" s="162"/>
      <c r="P13" s="162" t="s">
        <v>332</v>
      </c>
      <c r="Q13" s="162" t="s">
        <v>332</v>
      </c>
      <c r="R13" s="181"/>
      <c r="S13" s="162" t="s">
        <v>332</v>
      </c>
      <c r="T13" s="163" t="s">
        <v>332</v>
      </c>
      <c r="U13" s="163"/>
      <c r="V13" s="163"/>
      <c r="W13" s="163"/>
      <c r="X13" s="163"/>
      <c r="Y13" s="163"/>
      <c r="Z13" s="163"/>
      <c r="AA13" s="163"/>
      <c r="AB13" s="162" t="s">
        <v>5</v>
      </c>
      <c r="AC13" s="162" t="s">
        <v>5</v>
      </c>
      <c r="AD13" s="162" t="s">
        <v>5</v>
      </c>
      <c r="AE13" s="162"/>
      <c r="AF13" s="163"/>
      <c r="AG13" s="163" t="s">
        <v>5</v>
      </c>
      <c r="AH13" s="163"/>
      <c r="AI13" s="163"/>
      <c r="AJ13" s="164"/>
      <c r="AK13" s="164" t="s">
        <v>5</v>
      </c>
      <c r="AL13" s="167" t="s">
        <v>339</v>
      </c>
      <c r="AM13" s="135"/>
      <c r="AN13" s="137"/>
      <c r="AO13" s="137"/>
      <c r="AP13" s="137"/>
      <c r="AQ13" s="137"/>
      <c r="AR13" s="137"/>
      <c r="AS13" s="137"/>
      <c r="AT13" s="135"/>
      <c r="AU13" s="135"/>
      <c r="AV13" s="135"/>
    </row>
    <row r="14" spans="1:48" s="165" customFormat="1" ht="46" x14ac:dyDescent="0.25">
      <c r="A14" s="166" t="s">
        <v>376</v>
      </c>
      <c r="B14" s="167" t="s">
        <v>377</v>
      </c>
      <c r="C14" s="167" t="s">
        <v>378</v>
      </c>
      <c r="D14" s="167"/>
      <c r="E14" s="167"/>
      <c r="F14" s="167" t="s">
        <v>379</v>
      </c>
      <c r="G14" s="167"/>
      <c r="H14" s="167"/>
      <c r="I14" s="167" t="s">
        <v>5</v>
      </c>
      <c r="J14" s="167" t="s">
        <v>5</v>
      </c>
      <c r="K14" s="167"/>
      <c r="L14" s="167"/>
      <c r="M14" s="167" t="s">
        <v>377</v>
      </c>
      <c r="N14" s="162"/>
      <c r="O14" s="162" t="s">
        <v>332</v>
      </c>
      <c r="P14" s="162"/>
      <c r="Q14" s="162" t="s">
        <v>332</v>
      </c>
      <c r="R14" s="181" t="s">
        <v>482</v>
      </c>
      <c r="S14" s="162" t="s">
        <v>483</v>
      </c>
      <c r="T14" s="163" t="s">
        <v>332</v>
      </c>
      <c r="U14" s="163"/>
      <c r="V14" s="163" t="s">
        <v>5</v>
      </c>
      <c r="W14" s="163" t="s">
        <v>5</v>
      </c>
      <c r="X14" s="163" t="s">
        <v>381</v>
      </c>
      <c r="Y14" s="163"/>
      <c r="Z14" s="163" t="s">
        <v>5</v>
      </c>
      <c r="AA14" s="163"/>
      <c r="AB14" s="162" t="s">
        <v>380</v>
      </c>
      <c r="AC14" s="162" t="s">
        <v>332</v>
      </c>
      <c r="AD14" s="162" t="s">
        <v>332</v>
      </c>
      <c r="AE14" s="162"/>
      <c r="AF14" s="163" t="s">
        <v>332</v>
      </c>
      <c r="AG14" s="163" t="s">
        <v>332</v>
      </c>
      <c r="AH14" s="163" t="s">
        <v>5</v>
      </c>
      <c r="AI14" s="163" t="s">
        <v>332</v>
      </c>
      <c r="AJ14" s="164" t="s">
        <v>332</v>
      </c>
      <c r="AK14" s="164" t="s">
        <v>332</v>
      </c>
      <c r="AL14" s="164"/>
      <c r="AM14" s="135"/>
      <c r="AN14" s="137"/>
      <c r="AO14" s="137"/>
      <c r="AP14" s="137"/>
      <c r="AQ14" s="137"/>
      <c r="AR14" s="137"/>
      <c r="AS14" s="137"/>
      <c r="AT14" s="135"/>
      <c r="AU14" s="135"/>
      <c r="AV14" s="135"/>
    </row>
    <row r="15" spans="1:48" s="135" customFormat="1" ht="57.5" x14ac:dyDescent="0.25">
      <c r="A15" s="168" t="s">
        <v>382</v>
      </c>
      <c r="B15" s="162"/>
      <c r="C15" s="162"/>
      <c r="D15" s="162"/>
      <c r="E15" s="162"/>
      <c r="F15" s="162"/>
      <c r="G15" s="162"/>
      <c r="H15" s="162"/>
      <c r="I15" s="162"/>
      <c r="J15" s="162"/>
      <c r="K15" s="162"/>
      <c r="L15" s="162"/>
      <c r="M15" s="167" t="s">
        <v>377</v>
      </c>
      <c r="N15" s="162"/>
      <c r="O15" s="163" t="s">
        <v>332</v>
      </c>
      <c r="P15" s="162"/>
      <c r="Q15" s="162" t="s">
        <v>332</v>
      </c>
      <c r="R15" s="181" t="s">
        <v>482</v>
      </c>
      <c r="S15" s="162" t="s">
        <v>483</v>
      </c>
      <c r="T15" s="163" t="s">
        <v>332</v>
      </c>
      <c r="U15" s="163"/>
      <c r="V15" s="163"/>
      <c r="W15" s="163"/>
      <c r="X15" s="163" t="s">
        <v>332</v>
      </c>
      <c r="Y15" s="163"/>
      <c r="Z15" s="163"/>
      <c r="AA15" s="163"/>
      <c r="AB15" s="162" t="s">
        <v>380</v>
      </c>
      <c r="AC15" s="162" t="s">
        <v>332</v>
      </c>
      <c r="AD15" s="162" t="s">
        <v>5</v>
      </c>
      <c r="AE15" s="162" t="s">
        <v>332</v>
      </c>
      <c r="AF15" s="163" t="s">
        <v>5</v>
      </c>
      <c r="AG15" s="164" t="s">
        <v>332</v>
      </c>
      <c r="AH15" s="163"/>
      <c r="AI15" s="163" t="s">
        <v>332</v>
      </c>
      <c r="AJ15" s="163" t="s">
        <v>332</v>
      </c>
      <c r="AK15" s="164" t="s">
        <v>332</v>
      </c>
      <c r="AL15" s="164"/>
      <c r="AN15" s="137"/>
      <c r="AO15" s="137"/>
      <c r="AP15" s="137"/>
      <c r="AQ15" s="137"/>
      <c r="AR15" s="137"/>
      <c r="AS15" s="137"/>
      <c r="AT15" s="137"/>
      <c r="AU15" s="137"/>
      <c r="AV15" s="137"/>
    </row>
    <row r="16" spans="1:48" s="135" customFormat="1" ht="69" x14ac:dyDescent="0.25">
      <c r="A16" s="168" t="s">
        <v>383</v>
      </c>
      <c r="B16" s="162"/>
      <c r="C16" s="162"/>
      <c r="D16" s="162"/>
      <c r="E16" s="162"/>
      <c r="F16" s="162"/>
      <c r="G16" s="162"/>
      <c r="H16" s="162"/>
      <c r="I16" s="162"/>
      <c r="J16" s="162"/>
      <c r="K16" s="162"/>
      <c r="L16" s="162"/>
      <c r="M16" s="167" t="s">
        <v>377</v>
      </c>
      <c r="N16" s="162"/>
      <c r="O16" s="163" t="s">
        <v>332</v>
      </c>
      <c r="P16" s="162"/>
      <c r="Q16" s="162" t="s">
        <v>332</v>
      </c>
      <c r="R16" s="181" t="s">
        <v>482</v>
      </c>
      <c r="S16" s="162" t="s">
        <v>483</v>
      </c>
      <c r="T16" s="163" t="s">
        <v>332</v>
      </c>
      <c r="U16" s="163"/>
      <c r="V16" s="163"/>
      <c r="W16" s="163"/>
      <c r="X16" s="163" t="s">
        <v>332</v>
      </c>
      <c r="Y16" s="163"/>
      <c r="Z16" s="163"/>
      <c r="AA16" s="163"/>
      <c r="AB16" s="162" t="s">
        <v>380</v>
      </c>
      <c r="AC16" s="162" t="s">
        <v>384</v>
      </c>
      <c r="AD16" s="162" t="s">
        <v>5</v>
      </c>
      <c r="AE16" s="162" t="s">
        <v>332</v>
      </c>
      <c r="AF16" s="163" t="s">
        <v>5</v>
      </c>
      <c r="AG16" s="164" t="s">
        <v>332</v>
      </c>
      <c r="AH16" s="163"/>
      <c r="AI16" s="163" t="s">
        <v>332</v>
      </c>
      <c r="AJ16" s="163" t="s">
        <v>332</v>
      </c>
      <c r="AK16" s="164" t="s">
        <v>332</v>
      </c>
      <c r="AL16" s="164"/>
      <c r="AN16" s="137"/>
      <c r="AO16" s="137"/>
      <c r="AP16" s="137"/>
      <c r="AQ16" s="137"/>
      <c r="AR16" s="137"/>
      <c r="AS16" s="137"/>
      <c r="AT16" s="137"/>
      <c r="AU16" s="137"/>
      <c r="AV16" s="137"/>
    </row>
    <row r="17" spans="1:48" s="135" customFormat="1" ht="69" x14ac:dyDescent="0.25">
      <c r="A17" s="169" t="s">
        <v>385</v>
      </c>
      <c r="B17" s="170"/>
      <c r="C17" s="170"/>
      <c r="D17" s="170"/>
      <c r="E17" s="170"/>
      <c r="F17" s="170"/>
      <c r="G17" s="170"/>
      <c r="H17" s="170"/>
      <c r="I17" s="170"/>
      <c r="J17" s="170"/>
      <c r="K17" s="170"/>
      <c r="L17" s="170"/>
      <c r="M17" s="167" t="s">
        <v>377</v>
      </c>
      <c r="N17" s="162"/>
      <c r="O17" s="163" t="s">
        <v>332</v>
      </c>
      <c r="P17" s="162"/>
      <c r="Q17" s="162" t="s">
        <v>332</v>
      </c>
      <c r="R17" s="181" t="s">
        <v>482</v>
      </c>
      <c r="S17" s="163"/>
      <c r="T17" s="163" t="s">
        <v>332</v>
      </c>
      <c r="U17" s="163"/>
      <c r="V17" s="163"/>
      <c r="W17" s="163"/>
      <c r="X17" s="163" t="s">
        <v>332</v>
      </c>
      <c r="Y17" s="163"/>
      <c r="Z17" s="163"/>
      <c r="AA17" s="163"/>
      <c r="AB17" s="163"/>
      <c r="AC17" s="163"/>
      <c r="AD17" s="162"/>
      <c r="AE17" s="162" t="s">
        <v>5</v>
      </c>
      <c r="AF17" s="163" t="s">
        <v>5</v>
      </c>
      <c r="AG17" s="163" t="s">
        <v>5</v>
      </c>
      <c r="AH17" s="163" t="s">
        <v>5</v>
      </c>
      <c r="AI17" s="163" t="s">
        <v>5</v>
      </c>
      <c r="AJ17" s="163" t="s">
        <v>332</v>
      </c>
      <c r="AK17" s="163" t="s">
        <v>332</v>
      </c>
      <c r="AL17" s="163"/>
      <c r="AN17" s="137"/>
      <c r="AO17" s="137"/>
      <c r="AP17" s="137"/>
      <c r="AQ17" s="137"/>
      <c r="AR17" s="137"/>
      <c r="AS17" s="137"/>
      <c r="AT17" s="137"/>
      <c r="AU17" s="137"/>
      <c r="AV17" s="137"/>
    </row>
  </sheetData>
  <sheetProtection algorithmName="SHA-512" hashValue="uGarbIT/xhkBItYXAdNydk7KdLAB2qXQdzmXukbpMkWoA60/8t5Q45DBSAtVi9JavVseti1ZHX5fDGXChANejQ==" saltValue="BpOiscLzeQpKsb9ZSuQZRg==" spinCount="100000" sheet="1" objects="1" scenarios="1"/>
  <mergeCells count="9">
    <mergeCell ref="AJ3:AJ4"/>
    <mergeCell ref="AK3:AK4"/>
    <mergeCell ref="AL3:AL4"/>
    <mergeCell ref="B1:AL1"/>
    <mergeCell ref="C2:L2"/>
    <mergeCell ref="M2:AA2"/>
    <mergeCell ref="AB2:AF2"/>
    <mergeCell ref="AG2:AI2"/>
    <mergeCell ref="AJ2:AL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2">
    <tabColor theme="0"/>
  </sheetPr>
  <dimension ref="A1:C7"/>
  <sheetViews>
    <sheetView workbookViewId="0">
      <selection activeCell="B22" sqref="B22"/>
    </sheetView>
  </sheetViews>
  <sheetFormatPr baseColWidth="10" defaultColWidth="11.453125" defaultRowHeight="14.5" x14ac:dyDescent="0.35"/>
  <cols>
    <col min="1" max="1" width="20.90625" bestFit="1" customWidth="1"/>
    <col min="2" max="2" width="50.08984375" customWidth="1"/>
    <col min="3" max="3" width="17.08984375" bestFit="1" customWidth="1"/>
  </cols>
  <sheetData>
    <row r="1" spans="1:3" ht="69.900000000000006" customHeight="1" x14ac:dyDescent="0.35">
      <c r="A1" s="268" t="s">
        <v>179</v>
      </c>
      <c r="B1" s="269"/>
      <c r="C1" s="269"/>
    </row>
    <row r="2" spans="1:3" ht="27.75" customHeight="1" x14ac:dyDescent="0.35">
      <c r="A2" s="68" t="s">
        <v>50</v>
      </c>
      <c r="B2" s="68" t="s">
        <v>53</v>
      </c>
      <c r="C2" s="68" t="s">
        <v>4</v>
      </c>
    </row>
    <row r="3" spans="1:3" ht="30" customHeight="1" x14ac:dyDescent="0.35">
      <c r="A3" s="69" t="s">
        <v>46</v>
      </c>
      <c r="B3" s="70" t="s">
        <v>54</v>
      </c>
      <c r="C3" s="71" t="s">
        <v>51</v>
      </c>
    </row>
    <row r="4" spans="1:3" ht="30" customHeight="1" x14ac:dyDescent="0.35">
      <c r="A4" s="69" t="s">
        <v>47</v>
      </c>
      <c r="B4" s="70" t="s">
        <v>176</v>
      </c>
      <c r="C4" s="71" t="s">
        <v>51</v>
      </c>
    </row>
    <row r="5" spans="1:3" ht="30" customHeight="1" x14ac:dyDescent="0.35">
      <c r="A5" s="69" t="s">
        <v>48</v>
      </c>
      <c r="B5" s="70" t="s">
        <v>56</v>
      </c>
      <c r="C5" s="71" t="s">
        <v>51</v>
      </c>
    </row>
    <row r="6" spans="1:3" ht="30" customHeight="1" x14ac:dyDescent="0.35">
      <c r="A6" s="69" t="s">
        <v>177</v>
      </c>
      <c r="B6" s="70" t="s">
        <v>178</v>
      </c>
      <c r="C6" s="71" t="s">
        <v>55</v>
      </c>
    </row>
    <row r="7" spans="1:3" ht="30" customHeight="1" x14ac:dyDescent="0.35">
      <c r="A7" s="72" t="s">
        <v>49</v>
      </c>
      <c r="B7" s="73" t="s">
        <v>57</v>
      </c>
      <c r="C7" s="74" t="s">
        <v>52</v>
      </c>
    </row>
  </sheetData>
  <mergeCells count="1">
    <mergeCell ref="A1:C1"/>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tabColor theme="0"/>
  </sheetPr>
  <dimension ref="A1:I14"/>
  <sheetViews>
    <sheetView workbookViewId="0">
      <selection activeCell="D1" sqref="D1:D3"/>
    </sheetView>
  </sheetViews>
  <sheetFormatPr baseColWidth="10" defaultColWidth="11.453125" defaultRowHeight="13" x14ac:dyDescent="0.3"/>
  <cols>
    <col min="1" max="1" width="13" style="80" bestFit="1" customWidth="1"/>
    <col min="2" max="2" width="16.08984375" style="80" customWidth="1"/>
    <col min="3" max="3" width="50.453125" style="80" bestFit="1" customWidth="1"/>
    <col min="4" max="4" width="11.453125" style="80" customWidth="1"/>
    <col min="5" max="16384" width="11.453125" style="80"/>
  </cols>
  <sheetData>
    <row r="1" spans="1:9" x14ac:dyDescent="0.3">
      <c r="A1" s="80" t="s">
        <v>170</v>
      </c>
      <c r="B1" s="80" t="s">
        <v>190</v>
      </c>
      <c r="C1" s="80" t="s">
        <v>343</v>
      </c>
      <c r="D1" s="80" t="s">
        <v>356</v>
      </c>
    </row>
    <row r="2" spans="1:9" x14ac:dyDescent="0.3">
      <c r="A2" s="80" t="s">
        <v>188</v>
      </c>
      <c r="B2" s="80" t="s">
        <v>191</v>
      </c>
      <c r="C2" s="80" t="s">
        <v>365</v>
      </c>
      <c r="D2" s="80" t="s">
        <v>433</v>
      </c>
    </row>
    <row r="3" spans="1:9" x14ac:dyDescent="0.3">
      <c r="A3" s="80" t="s">
        <v>189</v>
      </c>
      <c r="B3" s="80" t="s">
        <v>192</v>
      </c>
      <c r="C3" s="80" t="s">
        <v>364</v>
      </c>
      <c r="D3" s="80" t="s">
        <v>357</v>
      </c>
      <c r="I3" s="80" t="s">
        <v>349</v>
      </c>
    </row>
    <row r="4" spans="1:9" x14ac:dyDescent="0.3">
      <c r="A4" s="80" t="s">
        <v>366</v>
      </c>
      <c r="B4" s="80" t="s">
        <v>193</v>
      </c>
      <c r="C4" s="80" t="s">
        <v>409</v>
      </c>
      <c r="D4" s="80" t="s">
        <v>5</v>
      </c>
    </row>
    <row r="5" spans="1:9" x14ac:dyDescent="0.3">
      <c r="A5" s="80" t="s">
        <v>400</v>
      </c>
      <c r="B5" s="80" t="s">
        <v>194</v>
      </c>
      <c r="C5" s="80" t="s">
        <v>411</v>
      </c>
    </row>
    <row r="6" spans="1:9" x14ac:dyDescent="0.3">
      <c r="A6" s="80" t="s">
        <v>401</v>
      </c>
      <c r="B6" s="80" t="s">
        <v>195</v>
      </c>
      <c r="C6" s="80" t="s">
        <v>415</v>
      </c>
    </row>
    <row r="7" spans="1:9" x14ac:dyDescent="0.3">
      <c r="A7" s="80" t="s">
        <v>404</v>
      </c>
      <c r="B7" s="80" t="s">
        <v>196</v>
      </c>
      <c r="C7" s="80" t="s">
        <v>414</v>
      </c>
    </row>
    <row r="8" spans="1:9" x14ac:dyDescent="0.3">
      <c r="A8" s="80" t="s">
        <v>402</v>
      </c>
      <c r="B8" s="80" t="s">
        <v>197</v>
      </c>
      <c r="C8" s="80" t="s">
        <v>412</v>
      </c>
    </row>
    <row r="9" spans="1:9" x14ac:dyDescent="0.3">
      <c r="A9" s="80" t="s">
        <v>405</v>
      </c>
      <c r="C9" s="80" t="s">
        <v>413</v>
      </c>
    </row>
    <row r="10" spans="1:9" x14ac:dyDescent="0.3">
      <c r="A10" s="80" t="s">
        <v>403</v>
      </c>
      <c r="C10" s="80" t="s">
        <v>416</v>
      </c>
    </row>
    <row r="11" spans="1:9" x14ac:dyDescent="0.3">
      <c r="A11" s="80" t="s">
        <v>408</v>
      </c>
      <c r="C11" s="80" t="s">
        <v>417</v>
      </c>
    </row>
    <row r="12" spans="1:9" x14ac:dyDescent="0.3">
      <c r="A12" s="80" t="s">
        <v>406</v>
      </c>
      <c r="C12" s="80" t="s">
        <v>418</v>
      </c>
    </row>
    <row r="13" spans="1:9" x14ac:dyDescent="0.3">
      <c r="A13" s="80" t="s">
        <v>407</v>
      </c>
      <c r="C13" s="80" t="s">
        <v>344</v>
      </c>
    </row>
    <row r="14" spans="1:9" x14ac:dyDescent="0.3">
      <c r="C14" s="80" t="s">
        <v>396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5ECA9C507B0AB4D935268073329336C" ma:contentTypeVersion="1" ma:contentTypeDescription="Crear nuevo documento." ma:contentTypeScope="" ma:versionID="f0a3ee98ea3c7cdc210525f5c71c769a">
  <xsd:schema xmlns:xsd="http://www.w3.org/2001/XMLSchema" xmlns:xs="http://www.w3.org/2001/XMLSchema" xmlns:p="http://schemas.microsoft.com/office/2006/metadata/properties" xmlns:ns2="70036ed4-a646-4dcb-a562-86f582db0801" targetNamespace="http://schemas.microsoft.com/office/2006/metadata/properties" ma:root="true" ma:fieldsID="19237417b7041542b0ec7019dc7a0d31" ns2:_="">
    <xsd:import namespace="70036ed4-a646-4dcb-a562-86f582db0801"/>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036ed4-a646-4dcb-a562-86f582db0801" elementFormDefault="qualified">
    <xsd:import namespace="http://schemas.microsoft.com/office/2006/documentManagement/types"/>
    <xsd:import namespace="http://schemas.microsoft.com/office/infopath/2007/PartnerControls"/>
    <xsd:element name="SharedWithUsers" ma:index="8"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40AECC9-A330-49A1-86D5-9AE6B251C8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036ed4-a646-4dcb-a562-86f582db08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EAEBCE8-B83A-4E39-99BD-3A8FAF4A7629}">
  <ds:schemaRefs>
    <ds:schemaRef ds:uri="http://schemas.microsoft.com/office/2006/documentManagement/types"/>
    <ds:schemaRef ds:uri="70036ed4-a646-4dcb-a562-86f582db0801"/>
    <ds:schemaRef ds:uri="http://purl.org/dc/elements/1.1/"/>
    <ds:schemaRef ds:uri="http://schemas.openxmlformats.org/package/2006/metadata/core-properties"/>
    <ds:schemaRef ds:uri="http://www.w3.org/XML/1998/namespace"/>
    <ds:schemaRef ds:uri="http://schemas.microsoft.com/office/infopath/2007/PartnerControls"/>
    <ds:schemaRef ds:uri="http://purl.org/dc/term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996CFAFB-12CB-4587-9C35-E214FF8AC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6</vt:i4>
      </vt:variant>
    </vt:vector>
  </HeadingPairs>
  <TitlesOfParts>
    <vt:vector size="16" baseType="lpstr">
      <vt:lpstr>Cuestionario</vt:lpstr>
      <vt:lpstr>Hoja1</vt:lpstr>
      <vt:lpstr>Anexo Plan de Instalación</vt:lpstr>
      <vt:lpstr>Anexo Plan de Actividades</vt:lpstr>
      <vt:lpstr>Anexo Plan de Rollback</vt:lpstr>
      <vt:lpstr>Usuarios y Accesos</vt:lpstr>
      <vt:lpstr>Formatos</vt:lpstr>
      <vt:lpstr>Matriz de Documentos</vt:lpstr>
      <vt:lpstr>Leyenda</vt:lpstr>
      <vt:lpstr>Tablas</vt:lpstr>
      <vt:lpstr>'Anexo Plan de Actividades'!Área_de_impresión</vt:lpstr>
      <vt:lpstr>'Anexo Plan de Instalación'!Área_de_impresión</vt:lpstr>
      <vt:lpstr>'Anexo Plan de Rollback'!Área_de_impresión</vt:lpstr>
      <vt:lpstr>Cuestionario!Área_de_impresión</vt:lpstr>
      <vt:lpstr>Formatos!Área_de_impresión</vt:lpstr>
      <vt:lpstr>'Usuarios y Accesos'!Área_de_impresión</vt:lpstr>
    </vt:vector>
  </TitlesOfParts>
  <Company>Interbank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s17860</dc:creator>
  <cp:lastModifiedBy>GALA, JUAN</cp:lastModifiedBy>
  <cp:lastPrinted>2021-01-21T00:16:59Z</cp:lastPrinted>
  <dcterms:created xsi:type="dcterms:W3CDTF">2011-11-17T17:13:01Z</dcterms:created>
  <dcterms:modified xsi:type="dcterms:W3CDTF">2024-03-01T03:58:12Z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0x01010025ECA9C507B0AB4D935268073329336C</vt:lpwstr>
  </property>
</Properties>
</file>